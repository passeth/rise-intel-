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품질관리\수출자료\03. CPNP\250714_CPNP 서류_16품목\7. Fraijour Alchemic Ginsenoside Exo-Wrap Mask_모크라 중복\6. Allergens list + IFRA\"/>
    </mc:Choice>
  </mc:AlternateContent>
  <xr:revisionPtr revIDLastSave="0" documentId="13_ncr:1_{EDCCE879-531B-49AB-B9BE-FCEAC140C0F2}" xr6:coauthVersionLast="47" xr6:coauthVersionMax="47" xr10:uidLastSave="{00000000-0000-0000-0000-000000000000}"/>
  <bookViews>
    <workbookView xWindow="19200" yWindow="0" windowWidth="19200" windowHeight="21000" xr2:uid="{E9094691-3D48-4ADE-AF01-B64772D96980}"/>
  </bookViews>
  <sheets>
    <sheet name="ALLERGY DATA_EU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5" i="1" l="1"/>
  <c r="O95" i="1" s="1"/>
  <c r="M94" i="1"/>
  <c r="N94" i="1" s="1"/>
  <c r="M93" i="1"/>
  <c r="N93" i="1" s="1"/>
  <c r="O92" i="1"/>
  <c r="N92" i="1"/>
  <c r="M92" i="1"/>
  <c r="M91" i="1"/>
  <c r="O91" i="1" s="1"/>
  <c r="M90" i="1"/>
  <c r="N90" i="1" s="1"/>
  <c r="O89" i="1"/>
  <c r="M89" i="1"/>
  <c r="N89" i="1" s="1"/>
  <c r="O88" i="1"/>
  <c r="M88" i="1"/>
  <c r="N88" i="1" s="1"/>
  <c r="M87" i="1"/>
  <c r="O87" i="1" s="1"/>
  <c r="M86" i="1"/>
  <c r="N86" i="1" s="1"/>
  <c r="M85" i="1"/>
  <c r="N85" i="1" s="1"/>
  <c r="N84" i="1"/>
  <c r="M84" i="1"/>
  <c r="O84" i="1" s="1"/>
  <c r="M83" i="1"/>
  <c r="O83" i="1" s="1"/>
  <c r="M82" i="1"/>
  <c r="N82" i="1" s="1"/>
  <c r="O81" i="1"/>
  <c r="M81" i="1"/>
  <c r="N81" i="1" s="1"/>
  <c r="M80" i="1"/>
  <c r="O80" i="1" s="1"/>
  <c r="M79" i="1"/>
  <c r="O79" i="1" s="1"/>
  <c r="M78" i="1"/>
  <c r="N78" i="1" s="1"/>
  <c r="M77" i="1"/>
  <c r="N77" i="1" s="1"/>
  <c r="N76" i="1"/>
  <c r="M76" i="1"/>
  <c r="O76" i="1" s="1"/>
  <c r="M75" i="1"/>
  <c r="O75" i="1" s="1"/>
  <c r="M74" i="1"/>
  <c r="N74" i="1" s="1"/>
  <c r="O73" i="1"/>
  <c r="M73" i="1"/>
  <c r="N73" i="1" s="1"/>
  <c r="M72" i="1"/>
  <c r="O72" i="1" s="1"/>
  <c r="M71" i="1"/>
  <c r="O71" i="1" s="1"/>
  <c r="M70" i="1"/>
  <c r="N70" i="1" s="1"/>
  <c r="M69" i="1"/>
  <c r="N69" i="1" s="1"/>
  <c r="O68" i="1"/>
  <c r="M68" i="1"/>
  <c r="N68" i="1" s="1"/>
  <c r="M67" i="1"/>
  <c r="O67" i="1" s="1"/>
  <c r="M66" i="1"/>
  <c r="N66" i="1" s="1"/>
  <c r="M65" i="1"/>
  <c r="N65" i="1" s="1"/>
  <c r="N64" i="1"/>
  <c r="M64" i="1"/>
  <c r="O64" i="1" s="1"/>
  <c r="M63" i="1"/>
  <c r="O63" i="1" s="1"/>
  <c r="M62" i="1"/>
  <c r="N62" i="1" s="1"/>
  <c r="O61" i="1"/>
  <c r="M61" i="1"/>
  <c r="N61" i="1" s="1"/>
  <c r="M60" i="1"/>
  <c r="O60" i="1" s="1"/>
  <c r="M59" i="1"/>
  <c r="O59" i="1" s="1"/>
  <c r="M58" i="1"/>
  <c r="N58" i="1" s="1"/>
  <c r="M57" i="1"/>
  <c r="N57" i="1" s="1"/>
  <c r="M56" i="1"/>
  <c r="N56" i="1" s="1"/>
  <c r="M55" i="1"/>
  <c r="O55" i="1" s="1"/>
  <c r="M54" i="1"/>
  <c r="N54" i="1" s="1"/>
  <c r="M53" i="1"/>
  <c r="N53" i="1" s="1"/>
  <c r="N52" i="1"/>
  <c r="M52" i="1"/>
  <c r="O52" i="1" s="1"/>
  <c r="M51" i="1"/>
  <c r="O51" i="1" s="1"/>
  <c r="M50" i="1"/>
  <c r="N50" i="1" s="1"/>
  <c r="O49" i="1"/>
  <c r="M49" i="1"/>
  <c r="N49" i="1" s="1"/>
  <c r="M48" i="1"/>
  <c r="O48" i="1" s="1"/>
  <c r="M47" i="1"/>
  <c r="O47" i="1" s="1"/>
  <c r="M46" i="1"/>
  <c r="N46" i="1" s="1"/>
  <c r="M45" i="1"/>
  <c r="N45" i="1" s="1"/>
  <c r="M44" i="1"/>
  <c r="O44" i="1" s="1"/>
  <c r="M43" i="1"/>
  <c r="O43" i="1" s="1"/>
  <c r="M42" i="1"/>
  <c r="N42" i="1" s="1"/>
  <c r="O41" i="1"/>
  <c r="M41" i="1"/>
  <c r="N41" i="1" s="1"/>
  <c r="M40" i="1"/>
  <c r="O40" i="1" s="1"/>
  <c r="M39" i="1"/>
  <c r="O39" i="1" s="1"/>
  <c r="M38" i="1"/>
  <c r="N38" i="1" s="1"/>
  <c r="M37" i="1"/>
  <c r="N37" i="1" s="1"/>
  <c r="O36" i="1"/>
  <c r="N36" i="1"/>
  <c r="M36" i="1"/>
  <c r="M35" i="1"/>
  <c r="O35" i="1" s="1"/>
  <c r="M34" i="1"/>
  <c r="N34" i="1" s="1"/>
  <c r="O33" i="1"/>
  <c r="M33" i="1"/>
  <c r="N33" i="1" s="1"/>
  <c r="M32" i="1"/>
  <c r="N32" i="1" s="1"/>
  <c r="M31" i="1"/>
  <c r="O31" i="1" s="1"/>
  <c r="M30" i="1"/>
  <c r="N30" i="1" s="1"/>
  <c r="M29" i="1"/>
  <c r="N29" i="1" s="1"/>
  <c r="M28" i="1"/>
  <c r="O28" i="1" s="1"/>
  <c r="M27" i="1"/>
  <c r="O27" i="1" s="1"/>
  <c r="M26" i="1"/>
  <c r="N26" i="1" s="1"/>
  <c r="O25" i="1"/>
  <c r="M25" i="1"/>
  <c r="N25" i="1" s="1"/>
  <c r="M24" i="1"/>
  <c r="O24" i="1" s="1"/>
  <c r="M23" i="1"/>
  <c r="O23" i="1" s="1"/>
  <c r="M22" i="1"/>
  <c r="N22" i="1" s="1"/>
  <c r="M21" i="1"/>
  <c r="N21" i="1" s="1"/>
  <c r="O20" i="1"/>
  <c r="N20" i="1"/>
  <c r="M20" i="1"/>
  <c r="M19" i="1"/>
  <c r="O19" i="1" s="1"/>
  <c r="M18" i="1"/>
  <c r="N18" i="1" s="1"/>
  <c r="M17" i="1"/>
  <c r="N17" i="1" s="1"/>
  <c r="N16" i="1"/>
  <c r="M16" i="1"/>
  <c r="O16" i="1" s="1"/>
  <c r="M15" i="1"/>
  <c r="O15" i="1" s="1"/>
  <c r="M14" i="1"/>
  <c r="N14" i="1" s="1"/>
  <c r="O13" i="1"/>
  <c r="M13" i="1"/>
  <c r="N13" i="1" s="1"/>
  <c r="O21" i="1" l="1"/>
  <c r="N24" i="1"/>
  <c r="O29" i="1"/>
  <c r="O37" i="1"/>
  <c r="N40" i="1"/>
  <c r="O45" i="1"/>
  <c r="N48" i="1"/>
  <c r="O57" i="1"/>
  <c r="N60" i="1"/>
  <c r="N72" i="1"/>
  <c r="O93" i="1"/>
  <c r="O53" i="1"/>
  <c r="O56" i="1"/>
  <c r="O65" i="1"/>
  <c r="O77" i="1"/>
  <c r="O85" i="1"/>
  <c r="N80" i="1"/>
  <c r="O69" i="1"/>
  <c r="N44" i="1"/>
  <c r="O32" i="1"/>
  <c r="N28" i="1"/>
  <c r="O17" i="1"/>
  <c r="O14" i="1"/>
  <c r="O18" i="1"/>
  <c r="O22" i="1"/>
  <c r="O26" i="1"/>
  <c r="O30" i="1"/>
  <c r="O34" i="1"/>
  <c r="O38" i="1"/>
  <c r="O42" i="1"/>
  <c r="O46" i="1"/>
  <c r="O50" i="1"/>
  <c r="O54" i="1"/>
  <c r="O58" i="1"/>
  <c r="O62" i="1"/>
  <c r="O66" i="1"/>
  <c r="O70" i="1"/>
  <c r="O74" i="1"/>
  <c r="O78" i="1"/>
  <c r="O82" i="1"/>
  <c r="O86" i="1"/>
  <c r="O90" i="1"/>
  <c r="O94" i="1"/>
  <c r="N15" i="1"/>
  <c r="N19" i="1"/>
  <c r="N23" i="1"/>
  <c r="N27" i="1"/>
  <c r="N31" i="1"/>
  <c r="N35" i="1"/>
  <c r="N39" i="1"/>
  <c r="N43" i="1"/>
  <c r="N47" i="1"/>
  <c r="N51" i="1"/>
  <c r="N55" i="1"/>
  <c r="N59" i="1"/>
  <c r="N63" i="1"/>
  <c r="N67" i="1"/>
  <c r="N71" i="1"/>
  <c r="N75" i="1"/>
  <c r="N79" i="1"/>
  <c r="N83" i="1"/>
  <c r="N87" i="1"/>
  <c r="N91" i="1"/>
  <c r="N95" i="1"/>
</calcChain>
</file>

<file path=xl/sharedStrings.xml><?xml version="1.0" encoding="utf-8"?>
<sst xmlns="http://schemas.openxmlformats.org/spreadsheetml/2006/main" count="204" uniqueCount="203">
  <si>
    <t>Cff</t>
    <phoneticPr fontId="2" type="noConversion"/>
  </si>
  <si>
    <t>주식회사 고려 에프 앤 에프</t>
    <phoneticPr fontId="6" type="noConversion"/>
  </si>
  <si>
    <t>Corea flavors &amp; fragrances Co., Ltd</t>
    <phoneticPr fontId="6" type="noConversion"/>
  </si>
  <si>
    <t>경기도 안성시 미양면 안성맞춤대로 474-22  http://www.cff.co.kr  TEL. (031)671-8700  FAX. (031)673-8760</t>
    <phoneticPr fontId="6" type="noConversion"/>
  </si>
  <si>
    <t>List of 83 Ingredients Selected by</t>
    <phoneticPr fontId="6" type="noConversion"/>
  </si>
  <si>
    <t xml:space="preserve">SCCNFP of  </t>
  </si>
  <si>
    <t>CUSTOMER</t>
    <phoneticPr fontId="6" type="noConversion"/>
  </si>
  <si>
    <t>DOSAGE</t>
    <phoneticPr fontId="6" type="noConversion"/>
  </si>
  <si>
    <t>DATE</t>
    <phoneticPr fontId="6" type="noConversion"/>
  </si>
  <si>
    <t>No.</t>
    <phoneticPr fontId="6" type="noConversion"/>
  </si>
  <si>
    <t>INGREDIENTS</t>
    <phoneticPr fontId="6" type="noConversion"/>
  </si>
  <si>
    <t>CAS NO.</t>
    <phoneticPr fontId="6" type="noConversion"/>
  </si>
  <si>
    <t>DIRECT
USE %
(a)</t>
    <phoneticPr fontId="6" type="noConversion"/>
  </si>
  <si>
    <t>VIA NATURAL 
PRODUCT %
(b)</t>
    <phoneticPr fontId="6" type="noConversion"/>
  </si>
  <si>
    <t>TOTAL %
(a + b)</t>
    <phoneticPr fontId="18" type="noConversion"/>
  </si>
  <si>
    <t>% in
Final
Product</t>
    <phoneticPr fontId="6" type="noConversion"/>
  </si>
  <si>
    <t>표기여부
(Leave on)</t>
    <phoneticPr fontId="6" type="noConversion"/>
  </si>
  <si>
    <t>표기여부
(Rinse off)</t>
    <phoneticPr fontId="6" type="noConversion"/>
  </si>
  <si>
    <t>3-Propylidenephthalide</t>
    <phoneticPr fontId="6" type="noConversion"/>
  </si>
  <si>
    <t>17369-59-4</t>
    <phoneticPr fontId="6" type="noConversion"/>
  </si>
  <si>
    <t>6-Methyl Coumarin</t>
    <phoneticPr fontId="6" type="noConversion"/>
  </si>
  <si>
    <t>92-48-8</t>
    <phoneticPr fontId="6" type="noConversion"/>
  </si>
  <si>
    <t>Acetyl Cedrene</t>
    <phoneticPr fontId="6" type="noConversion"/>
  </si>
  <si>
    <t>32388-55-9</t>
    <phoneticPr fontId="6" type="noConversion"/>
  </si>
  <si>
    <t>Alpha-Isomethyl Ionone</t>
    <phoneticPr fontId="6" type="noConversion"/>
  </si>
  <si>
    <t>127-51-5</t>
    <phoneticPr fontId="6" type="noConversion"/>
  </si>
  <si>
    <t>Alpha-Terpinene</t>
    <phoneticPr fontId="6" type="noConversion"/>
  </si>
  <si>
    <t>99-86-5</t>
    <phoneticPr fontId="6" type="noConversion"/>
  </si>
  <si>
    <t>Amyl Cinnamal</t>
    <phoneticPr fontId="6" type="noConversion"/>
  </si>
  <si>
    <t>122-40-7</t>
    <phoneticPr fontId="6" type="noConversion"/>
  </si>
  <si>
    <t>Amyl Cinnamyl Alcohol</t>
    <phoneticPr fontId="6" type="noConversion"/>
  </si>
  <si>
    <t>101-85-9</t>
    <phoneticPr fontId="6" type="noConversion"/>
  </si>
  <si>
    <t>Amyl Salicylate</t>
    <phoneticPr fontId="6" type="noConversion"/>
  </si>
  <si>
    <t>2050-08-0</t>
    <phoneticPr fontId="6" type="noConversion"/>
  </si>
  <si>
    <t>Anethole</t>
    <phoneticPr fontId="6" type="noConversion"/>
  </si>
  <si>
    <t>104-46-1
4180-23-8</t>
    <phoneticPr fontId="6" type="noConversion"/>
  </si>
  <si>
    <t>Anisyl Alcohol</t>
    <phoneticPr fontId="6" type="noConversion"/>
  </si>
  <si>
    <t>105-13-5</t>
    <phoneticPr fontId="6" type="noConversion"/>
  </si>
  <si>
    <t>Benzaldehyde</t>
    <phoneticPr fontId="6" type="noConversion"/>
  </si>
  <si>
    <t>100-52-7</t>
    <phoneticPr fontId="6" type="noConversion"/>
  </si>
  <si>
    <t>Benzyl Alcohol</t>
    <phoneticPr fontId="6" type="noConversion"/>
  </si>
  <si>
    <t>100-51-6</t>
    <phoneticPr fontId="6" type="noConversion"/>
  </si>
  <si>
    <t>Benzyl Benzoate</t>
    <phoneticPr fontId="6" type="noConversion"/>
  </si>
  <si>
    <t>120-51-4</t>
    <phoneticPr fontId="6" type="noConversion"/>
  </si>
  <si>
    <t>Benzyl Cinnamate</t>
    <phoneticPr fontId="6" type="noConversion"/>
  </si>
  <si>
    <t>103-41-3</t>
    <phoneticPr fontId="6" type="noConversion"/>
  </si>
  <si>
    <t>Benzyl Salicylate</t>
    <phoneticPr fontId="6" type="noConversion"/>
  </si>
  <si>
    <t>118-58-1</t>
    <phoneticPr fontId="6" type="noConversion"/>
  </si>
  <si>
    <t>Beta-Caryophyllene</t>
    <phoneticPr fontId="6" type="noConversion"/>
  </si>
  <si>
    <t>87-44-5</t>
    <phoneticPr fontId="6" type="noConversion"/>
  </si>
  <si>
    <t>Butylphenyl Methylpropional</t>
    <phoneticPr fontId="6" type="noConversion"/>
  </si>
  <si>
    <t>80-54-6</t>
    <phoneticPr fontId="6" type="noConversion"/>
  </si>
  <si>
    <t>Camphor</t>
    <phoneticPr fontId="6" type="noConversion"/>
  </si>
  <si>
    <t>76-22-2
464-48-2
464-49-3
21368-68-3</t>
    <phoneticPr fontId="6" type="noConversion"/>
  </si>
  <si>
    <t>Cananga Odorata Flower Oil</t>
    <phoneticPr fontId="6" type="noConversion"/>
  </si>
  <si>
    <t>8006-81-3
68606-83-7
83863-30-3
93686-30-7</t>
    <phoneticPr fontId="6" type="noConversion"/>
  </si>
  <si>
    <t>Carvone</t>
    <phoneticPr fontId="6" type="noConversion"/>
  </si>
  <si>
    <t>99-49-0
2244-16-8
6485-40-1</t>
    <phoneticPr fontId="6" type="noConversion"/>
  </si>
  <si>
    <t>Cedrus Atlantica Wood Oil</t>
    <phoneticPr fontId="6" type="noConversion"/>
  </si>
  <si>
    <t>8023-85-6
92201-55-3</t>
    <phoneticPr fontId="6" type="noConversion"/>
  </si>
  <si>
    <t>Cinnamal</t>
    <phoneticPr fontId="6" type="noConversion"/>
  </si>
  <si>
    <t>104-55-2</t>
    <phoneticPr fontId="6" type="noConversion"/>
  </si>
  <si>
    <t>Cinnamomum Cassia Leaf Oil</t>
    <phoneticPr fontId="6" type="noConversion"/>
  </si>
  <si>
    <t>8007-80-5
84961-46-6</t>
    <phoneticPr fontId="6" type="noConversion"/>
  </si>
  <si>
    <t>Cinnamomum Zeylanicum Bark Oil</t>
    <phoneticPr fontId="6" type="noConversion"/>
  </si>
  <si>
    <t>8015-91-6
84649-98-9</t>
    <phoneticPr fontId="6" type="noConversion"/>
  </si>
  <si>
    <t>Cinnamyl Alcohol</t>
    <phoneticPr fontId="6" type="noConversion"/>
  </si>
  <si>
    <t>104-54-1</t>
    <phoneticPr fontId="6" type="noConversion"/>
  </si>
  <si>
    <t>Citral</t>
    <phoneticPr fontId="6" type="noConversion"/>
  </si>
  <si>
    <t>106-26-3
141-27-5
5392-40-5</t>
    <phoneticPr fontId="6" type="noConversion"/>
  </si>
  <si>
    <t>Citronellol</t>
    <phoneticPr fontId="6" type="noConversion"/>
  </si>
  <si>
    <t>106-22-9
1117-61-9
7540-51-4
26489-01-0</t>
    <phoneticPr fontId="6" type="noConversion"/>
  </si>
  <si>
    <t>Citrus Aurantium Bergamia Peel Oil</t>
    <phoneticPr fontId="6" type="noConversion"/>
  </si>
  <si>
    <t>8007-75-8
68648-33-9
85049-52-1
89957-91-5</t>
    <phoneticPr fontId="6" type="noConversion"/>
  </si>
  <si>
    <t>Citrus Aurantium Dulcis Flower Oil</t>
    <phoneticPr fontId="6" type="noConversion"/>
  </si>
  <si>
    <t>8016-38-4
8028-48-6
72968-50-4</t>
    <phoneticPr fontId="6" type="noConversion"/>
  </si>
  <si>
    <t>Citrus Aurantium Dulcis Peel Oil</t>
    <phoneticPr fontId="6" type="noConversion"/>
  </si>
  <si>
    <t>8008-57-9
8028-48-6
68916-04-1
72968-50-4
97766-30-8</t>
    <phoneticPr fontId="6" type="noConversion"/>
  </si>
  <si>
    <t>Citrus Limon Peel Oil</t>
    <phoneticPr fontId="6" type="noConversion"/>
  </si>
  <si>
    <t>8008-56-8
84929-31-7</t>
    <phoneticPr fontId="6" type="noConversion"/>
  </si>
  <si>
    <t>Coumarin</t>
    <phoneticPr fontId="6" type="noConversion"/>
  </si>
  <si>
    <t>91-64-5</t>
    <phoneticPr fontId="6" type="noConversion"/>
  </si>
  <si>
    <t>Cymbopogon Citratus Leaf Oil</t>
    <phoneticPr fontId="6" type="noConversion"/>
  </si>
  <si>
    <t>8007-02-1
89998-16-3
91844-92-7</t>
    <phoneticPr fontId="6" type="noConversion"/>
  </si>
  <si>
    <t>Dimethyl Phenethyl Acetate</t>
    <phoneticPr fontId="6" type="noConversion"/>
  </si>
  <si>
    <t>151-05-3</t>
    <phoneticPr fontId="6" type="noConversion"/>
  </si>
  <si>
    <t>Ebanol</t>
    <phoneticPr fontId="6" type="noConversion"/>
  </si>
  <si>
    <t>67801-20-1</t>
    <phoneticPr fontId="6" type="noConversion"/>
  </si>
  <si>
    <t>Eucalyptus Globulus Leaf Oil</t>
    <phoneticPr fontId="6" type="noConversion"/>
  </si>
  <si>
    <t>8000-48-4
97926-40-4</t>
    <phoneticPr fontId="6" type="noConversion"/>
  </si>
  <si>
    <t>Eugenia Caryophyllus Leaf Oil</t>
    <phoneticPr fontId="6" type="noConversion"/>
  </si>
  <si>
    <t>8000-34-8
8015-97-2
84961-50-2</t>
    <phoneticPr fontId="6" type="noConversion"/>
  </si>
  <si>
    <t>Eugenol</t>
    <phoneticPr fontId="6" type="noConversion"/>
  </si>
  <si>
    <t>97-53-0</t>
    <phoneticPr fontId="6" type="noConversion"/>
  </si>
  <si>
    <t>Eugenyl Acetate</t>
    <phoneticPr fontId="6" type="noConversion"/>
  </si>
  <si>
    <t>93-28-7</t>
    <phoneticPr fontId="6" type="noConversion"/>
  </si>
  <si>
    <t>Evernia Furfuracea (Treemoss) Extract</t>
    <phoneticPr fontId="6" type="noConversion"/>
  </si>
  <si>
    <t>90028-67-4</t>
    <phoneticPr fontId="6" type="noConversion"/>
  </si>
  <si>
    <t>Evernia Prunastri (Oakmoss) Extract</t>
    <phoneticPr fontId="6" type="noConversion"/>
  </si>
  <si>
    <t>90028-68-5</t>
    <phoneticPr fontId="6" type="noConversion"/>
  </si>
  <si>
    <t>Farnesol</t>
    <phoneticPr fontId="6" type="noConversion"/>
  </si>
  <si>
    <t>4602-84-0</t>
    <phoneticPr fontId="6" type="noConversion"/>
  </si>
  <si>
    <t>Geraniol</t>
    <phoneticPr fontId="6" type="noConversion"/>
  </si>
  <si>
    <t>106-24-1</t>
    <phoneticPr fontId="6" type="noConversion"/>
  </si>
  <si>
    <t>Geranyl Acetate</t>
    <phoneticPr fontId="6" type="noConversion"/>
  </si>
  <si>
    <t>105-87-3</t>
    <phoneticPr fontId="6" type="noConversion"/>
  </si>
  <si>
    <t>Hexadecanolactone</t>
    <phoneticPr fontId="6" type="noConversion"/>
  </si>
  <si>
    <t>109-29-5</t>
    <phoneticPr fontId="6" type="noConversion"/>
  </si>
  <si>
    <t>Hexamethylindanopyran</t>
    <phoneticPr fontId="6" type="noConversion"/>
  </si>
  <si>
    <t>1222-05-5</t>
    <phoneticPr fontId="6" type="noConversion"/>
  </si>
  <si>
    <t>Hexyl Cinnamal</t>
    <phoneticPr fontId="6" type="noConversion"/>
  </si>
  <si>
    <t>101-86-0</t>
    <phoneticPr fontId="6" type="noConversion"/>
  </si>
  <si>
    <t>Hydroxycitronellal</t>
    <phoneticPr fontId="6" type="noConversion"/>
  </si>
  <si>
    <t>107-75-5</t>
    <phoneticPr fontId="6" type="noConversion"/>
  </si>
  <si>
    <t>Isoeugenol</t>
    <phoneticPr fontId="6" type="noConversion"/>
  </si>
  <si>
    <t>97-54-1
5912-86-7
5932-68-3</t>
    <phoneticPr fontId="6" type="noConversion"/>
  </si>
  <si>
    <t>Isoeugenyl Acetate</t>
    <phoneticPr fontId="6" type="noConversion"/>
  </si>
  <si>
    <t>93-29-8</t>
    <phoneticPr fontId="6" type="noConversion"/>
  </si>
  <si>
    <t>Jasminum Officinale Oil</t>
    <phoneticPr fontId="6" type="noConversion"/>
  </si>
  <si>
    <t>8022-96-6
8024-43-9
84776-64-7
90045-94-6</t>
    <phoneticPr fontId="6" type="noConversion"/>
  </si>
  <si>
    <t>Juniperus Virginiana Wood Oil</t>
    <phoneticPr fontId="6" type="noConversion"/>
  </si>
  <si>
    <t>8000-27-9
85085-41-2</t>
    <phoneticPr fontId="6" type="noConversion"/>
  </si>
  <si>
    <t>Laurus Nobilis Leaf Oil</t>
    <phoneticPr fontId="6" type="noConversion"/>
  </si>
  <si>
    <t>8002-41-3
8007-48-5
84603-73-6</t>
    <phoneticPr fontId="6" type="noConversion"/>
  </si>
  <si>
    <t>Lavandula Hybrida Oil</t>
    <phoneticPr fontId="6" type="noConversion"/>
  </si>
  <si>
    <t>8000-28-0
8022-15-9
84776-65-8
90063-37-9
91722-69-9
92623-76-2
93455-96-0
93455-97-1</t>
    <phoneticPr fontId="6" type="noConversion"/>
  </si>
  <si>
    <t>Limonene</t>
    <phoneticPr fontId="6" type="noConversion"/>
  </si>
  <si>
    <t>138-86-3
5989-27-5
5989-54-8
7705-14-8</t>
    <phoneticPr fontId="6" type="noConversion"/>
  </si>
  <si>
    <t>Linalool</t>
    <phoneticPr fontId="6" type="noConversion"/>
  </si>
  <si>
    <t>78-70-6</t>
    <phoneticPr fontId="6" type="noConversion"/>
  </si>
  <si>
    <t>Linalyl Acetate</t>
    <phoneticPr fontId="6" type="noConversion"/>
  </si>
  <si>
    <t>115-95-7</t>
    <phoneticPr fontId="6" type="noConversion"/>
  </si>
  <si>
    <t>Lippia Citriodora Absolute</t>
    <phoneticPr fontId="6" type="noConversion"/>
  </si>
  <si>
    <t>8024-12-2
85116-63-8</t>
    <phoneticPr fontId="6" type="noConversion"/>
  </si>
  <si>
    <t>Lyral</t>
    <phoneticPr fontId="6" type="noConversion"/>
  </si>
  <si>
    <t>31906-04-4</t>
    <phoneticPr fontId="6" type="noConversion"/>
  </si>
  <si>
    <t>Mentha Piperita Oil</t>
    <phoneticPr fontId="6" type="noConversion"/>
  </si>
  <si>
    <t>8006-90-4
84082-70-2</t>
    <phoneticPr fontId="6" type="noConversion"/>
  </si>
  <si>
    <t>Mentha Viridis Leaf Oil</t>
    <phoneticPr fontId="6" type="noConversion"/>
  </si>
  <si>
    <t>8008-79-5
84696-51-5</t>
    <phoneticPr fontId="6" type="noConversion"/>
  </si>
  <si>
    <t>Menthol</t>
    <phoneticPr fontId="6" type="noConversion"/>
  </si>
  <si>
    <t>89-78-1
1490-04-6
2216-51-5
15356-60-2</t>
    <phoneticPr fontId="6" type="noConversion"/>
  </si>
  <si>
    <t>Methyl 2-Octynoate</t>
    <phoneticPr fontId="6" type="noConversion"/>
  </si>
  <si>
    <t>111-12-6</t>
    <phoneticPr fontId="6" type="noConversion"/>
  </si>
  <si>
    <t>Methyl Salicylate</t>
    <phoneticPr fontId="6" type="noConversion"/>
  </si>
  <si>
    <t>119-36-8</t>
    <phoneticPr fontId="6" type="noConversion"/>
  </si>
  <si>
    <t>Myroxylon Pereirae Resin</t>
    <phoneticPr fontId="6" type="noConversion"/>
  </si>
  <si>
    <t>8007-00-9</t>
    <phoneticPr fontId="6" type="noConversion"/>
  </si>
  <si>
    <t>Narcissus Poeticus Extract</t>
    <phoneticPr fontId="6" type="noConversion"/>
  </si>
  <si>
    <t>68917-12-4
90064-25-8
90064-26-9
90064-27-0</t>
    <phoneticPr fontId="6" type="noConversion"/>
  </si>
  <si>
    <t>Pelargonium Graveolens Flower Oil</t>
    <phoneticPr fontId="6" type="noConversion"/>
  </si>
  <si>
    <t>8000-46-2
90082-51-2</t>
    <phoneticPr fontId="6" type="noConversion"/>
  </si>
  <si>
    <t>Pinene</t>
    <phoneticPr fontId="6" type="noConversion"/>
  </si>
  <si>
    <t>80-56-8
127-91-3
7785-70-8
18172-67-3</t>
    <phoneticPr fontId="6" type="noConversion"/>
  </si>
  <si>
    <t>Pinus Mugo Leaf Oil</t>
    <phoneticPr fontId="6" type="noConversion"/>
  </si>
  <si>
    <t>90082-72-7</t>
    <phoneticPr fontId="6" type="noConversion"/>
  </si>
  <si>
    <t>Pinus Pumila Twig Leaf Oil</t>
    <phoneticPr fontId="6" type="noConversion"/>
  </si>
  <si>
    <t>97676-05-6</t>
    <phoneticPr fontId="6" type="noConversion"/>
  </si>
  <si>
    <t>Pogostemon Cablin Oil</t>
    <phoneticPr fontId="6" type="noConversion"/>
  </si>
  <si>
    <t>8014-09-3
84238-39-1</t>
    <phoneticPr fontId="6" type="noConversion"/>
  </si>
  <si>
    <t>Rosa Damascena Flower Oil</t>
    <phoneticPr fontId="6" type="noConversion"/>
  </si>
  <si>
    <t>8007-01-0
84604-12-6
84604-13-7
84696-47-9
90106-38-0
92347-25-6
93334-48-6</t>
    <phoneticPr fontId="6" type="noConversion"/>
  </si>
  <si>
    <t>Rose Ketone</t>
    <phoneticPr fontId="6" type="noConversion"/>
  </si>
  <si>
    <t>23696-85-7
23726-91-2
23726-92-3
23726-94-5
24720-09-0
43052-87-5
57378-68-4
71048-82-3</t>
    <phoneticPr fontId="6" type="noConversion"/>
  </si>
  <si>
    <t>Salicylaldehyde</t>
    <phoneticPr fontId="6" type="noConversion"/>
  </si>
  <si>
    <t>90-02-8</t>
    <phoneticPr fontId="6" type="noConversion"/>
  </si>
  <si>
    <t>Santalol</t>
    <phoneticPr fontId="6" type="noConversion"/>
  </si>
  <si>
    <t>77-42-9
115-71-9
11031-45-1</t>
    <phoneticPr fontId="6" type="noConversion"/>
  </si>
  <si>
    <t>Santalum Album Oil</t>
    <phoneticPr fontId="6" type="noConversion"/>
  </si>
  <si>
    <t>8006-87-9
84787-70-2</t>
    <phoneticPr fontId="6" type="noConversion"/>
  </si>
  <si>
    <t>Sclareol</t>
    <phoneticPr fontId="6" type="noConversion"/>
  </si>
  <si>
    <t>515-03-7</t>
    <phoneticPr fontId="6" type="noConversion"/>
  </si>
  <si>
    <t>Terpineol</t>
    <phoneticPr fontId="6" type="noConversion"/>
  </si>
  <si>
    <t>98-55-5
138-87-4
586-81-2
8000-41-7</t>
    <phoneticPr fontId="6" type="noConversion"/>
  </si>
  <si>
    <t>Terpinolene</t>
    <phoneticPr fontId="6" type="noConversion"/>
  </si>
  <si>
    <t>586-62-9</t>
    <phoneticPr fontId="6" type="noConversion"/>
  </si>
  <si>
    <t>Tetramethylacetyloctahydronaphthalenes</t>
    <phoneticPr fontId="6" type="noConversion"/>
  </si>
  <si>
    <t>54464-57-2
54464-59-4
68155-66-8
68155-67-9</t>
    <phoneticPr fontId="6" type="noConversion"/>
  </si>
  <si>
    <t>Trimethylbenzenepropanol</t>
    <phoneticPr fontId="6" type="noConversion"/>
  </si>
  <si>
    <t>103694-68-4</t>
    <phoneticPr fontId="6" type="noConversion"/>
  </si>
  <si>
    <t>Turpentine</t>
    <phoneticPr fontId="6" type="noConversion"/>
  </si>
  <si>
    <t>8006-64-2
8052-14-0
9005-90-7</t>
    <phoneticPr fontId="6" type="noConversion"/>
  </si>
  <si>
    <t>Vanillin</t>
    <phoneticPr fontId="6" type="noConversion"/>
  </si>
  <si>
    <t>121-33-5</t>
    <phoneticPr fontId="6" type="noConversion"/>
  </si>
  <si>
    <t>* Even if the content is indicated blank, small amounts of allergic substances may be detected from production by-products or impurities of the raw materials used.</t>
    <phoneticPr fontId="6" type="noConversion"/>
  </si>
  <si>
    <t>Deputy General Manager Lim Jinkyu</t>
    <phoneticPr fontId="6" type="noConversion"/>
  </si>
  <si>
    <t>SKIN CARE F25567</t>
  </si>
  <si>
    <t>에바스코스메틱</t>
  </si>
  <si>
    <t>2025.07.29</t>
  </si>
  <si>
    <t>LAVENDER OIL [0.0032]</t>
  </si>
  <si>
    <t>LAVENDER OIL [0.1929]
GERANIUM OIL [0.1020]</t>
  </si>
  <si>
    <t>LAVENDER OIL [0.0964]
CEDARWOOD OIL TEXAS [0.0027]</t>
  </si>
  <si>
    <t>LAVENDER OIL [0.0129]</t>
  </si>
  <si>
    <t>GERANIUM OIL [2.8397]</t>
  </si>
  <si>
    <t>LAVENDER OIL [0.0193]</t>
  </si>
  <si>
    <t>GERANIUM OIL [1.3800]
LAVENDER OIL [0.1286]</t>
  </si>
  <si>
    <t>LAVENDER OIL [0.1286]</t>
  </si>
  <si>
    <t>LAVENDER OIL [0.1286]
GERANIUM OIL [0.0257]</t>
  </si>
  <si>
    <t>LAVENDER OIL [2.8929]
GERANIUM OIL [0.6231]</t>
  </si>
  <si>
    <t>LAVENDER OIL [2.3786]</t>
  </si>
  <si>
    <t>GERANIUM OIL [0.0711]
PATCHOULI OIL [0.0317]
LAVENDER OIL [0.0193]
CEDARWOOD OIL TEXAS [0.0119]</t>
  </si>
  <si>
    <t>LAVENDER OIL [0.1337]</t>
  </si>
  <si>
    <t>LAVENDER OIL [0.0321]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</si>
</sst>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.0000%"/>
    <numFmt numFmtId="178" formatCode="0.000%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45"/>
      <color indexed="48"/>
      <name val="Georgia"/>
      <family val="1"/>
    </font>
    <font>
      <b/>
      <sz val="48"/>
      <color rgb="FF3366FF"/>
      <name val="Times New Roman"/>
      <family val="1"/>
    </font>
    <font>
      <sz val="18"/>
      <name val="휴먼옛체"/>
      <family val="1"/>
      <charset val="129"/>
    </font>
    <font>
      <sz val="8"/>
      <name val="돋움"/>
      <family val="3"/>
      <charset val="129"/>
    </font>
    <font>
      <sz val="17"/>
      <name val="Times New Roman"/>
      <family val="1"/>
    </font>
    <font>
      <b/>
      <sz val="9"/>
      <name val="휴먼옛체"/>
      <family val="1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b/>
      <sz val="11"/>
      <name val="돋움"/>
      <family val="3"/>
      <charset val="129"/>
    </font>
    <font>
      <sz val="6"/>
      <color indexed="50"/>
      <name val="돋움"/>
      <family val="3"/>
      <charset val="129"/>
    </font>
    <font>
      <sz val="5"/>
      <name val="돋움"/>
      <family val="3"/>
      <charset val="129"/>
    </font>
    <font>
      <sz val="9"/>
      <name val="굴림체"/>
      <family val="3"/>
      <charset val="129"/>
    </font>
    <font>
      <b/>
      <sz val="9"/>
      <color indexed="12"/>
      <name val="굴림체"/>
      <family val="3"/>
      <charset val="129"/>
    </font>
    <font>
      <sz val="12"/>
      <name val="돋움"/>
      <family val="3"/>
      <charset val="129"/>
    </font>
    <font>
      <b/>
      <sz val="8"/>
      <name val="굴림체"/>
      <family val="3"/>
      <charset val="129"/>
    </font>
    <font>
      <sz val="10"/>
      <name val="Arial"/>
      <family val="2"/>
    </font>
    <font>
      <b/>
      <sz val="7"/>
      <name val="굴림체"/>
      <family val="3"/>
      <charset val="129"/>
    </font>
    <font>
      <sz val="8"/>
      <name val="굴림체"/>
      <family val="3"/>
      <charset val="129"/>
    </font>
    <font>
      <b/>
      <sz val="8"/>
      <color indexed="10"/>
      <name val="돋움"/>
      <family val="3"/>
      <charset val="129"/>
    </font>
    <font>
      <b/>
      <sz val="9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rgb="FF3366FF"/>
      </left>
      <right/>
      <top/>
      <bottom/>
      <diagonal/>
    </border>
    <border>
      <left style="thin">
        <color rgb="FF3366FF"/>
      </left>
      <right/>
      <top/>
      <bottom style="thin">
        <color rgb="FF3366FF"/>
      </bottom>
      <diagonal/>
    </border>
    <border>
      <left/>
      <right style="thin">
        <color rgb="FF3366FF"/>
      </right>
      <top/>
      <bottom style="thin">
        <color rgb="FF3366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04">
    <xf numFmtId="0" fontId="0" fillId="0" borderId="0" xfId="0">
      <alignment vertical="center"/>
    </xf>
    <xf numFmtId="0" fontId="3" fillId="0" borderId="0" xfId="0" applyFont="1" applyAlignment="1">
      <alignment horizontal="justify"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49" fontId="4" fillId="0" borderId="3" xfId="0" applyNumberFormat="1" applyFont="1" applyBorder="1">
      <alignment vertical="center"/>
    </xf>
    <xf numFmtId="0" fontId="5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0" fillId="0" borderId="0" xfId="0" applyAlignment="1"/>
    <xf numFmtId="0" fontId="9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49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49" fontId="12" fillId="0" borderId="0" xfId="0" applyNumberFormat="1" applyFont="1">
      <alignment vertical="center"/>
    </xf>
    <xf numFmtId="0" fontId="12" fillId="0" borderId="0" xfId="0" applyFont="1">
      <alignment vertical="center"/>
    </xf>
    <xf numFmtId="176" fontId="13" fillId="0" borderId="0" xfId="0" applyNumberFormat="1" applyFont="1">
      <alignment vertical="center"/>
    </xf>
    <xf numFmtId="0" fontId="13" fillId="0" borderId="0" xfId="0" applyFont="1">
      <alignment vertical="center"/>
    </xf>
    <xf numFmtId="0" fontId="14" fillId="0" borderId="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0" xfId="0" applyFo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16" fillId="0" borderId="0" xfId="0" applyNumberFormat="1" applyFont="1" applyAlignment="1">
      <alignment horizontal="right" vertical="center"/>
    </xf>
    <xf numFmtId="0" fontId="19" fillId="0" borderId="9" xfId="0" applyFont="1" applyBorder="1" applyAlignment="1">
      <alignment horizontal="center" vertical="center" wrapText="1"/>
    </xf>
    <xf numFmtId="0" fontId="20" fillId="0" borderId="0" xfId="0" applyFont="1">
      <alignment vertical="center"/>
    </xf>
    <xf numFmtId="178" fontId="17" fillId="0" borderId="13" xfId="0" applyNumberFormat="1" applyFont="1" applyBorder="1" applyAlignment="1">
      <alignment horizontal="center" vertical="center" wrapText="1"/>
    </xf>
    <xf numFmtId="10" fontId="17" fillId="0" borderId="13" xfId="0" applyNumberFormat="1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20" fillId="0" borderId="17" xfId="1" applyNumberFormat="1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77" fontId="20" fillId="0" borderId="21" xfId="0" applyNumberFormat="1" applyFont="1" applyBorder="1" applyAlignment="1">
      <alignment horizontal="center" vertical="center"/>
    </xf>
    <xf numFmtId="177" fontId="20" fillId="0" borderId="21" xfId="1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177" fontId="20" fillId="0" borderId="25" xfId="0" applyNumberFormat="1" applyFont="1" applyBorder="1" applyAlignment="1">
      <alignment horizontal="center" vertical="center"/>
    </xf>
    <xf numFmtId="177" fontId="20" fillId="0" borderId="25" xfId="1" applyNumberFormat="1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176" fontId="10" fillId="0" borderId="0" xfId="0" applyNumberFormat="1" applyFont="1">
      <alignment vertical="center"/>
    </xf>
    <xf numFmtId="0" fontId="20" fillId="0" borderId="26" xfId="0" applyFont="1" applyBorder="1" applyAlignment="1">
      <alignment vertical="center" wrapText="1"/>
    </xf>
    <xf numFmtId="0" fontId="20" fillId="0" borderId="27" xfId="0" applyFont="1" applyBorder="1" applyAlignment="1">
      <alignment vertical="center" wrapText="1"/>
    </xf>
    <xf numFmtId="0" fontId="20" fillId="0" borderId="28" xfId="0" applyFont="1" applyBorder="1" applyAlignment="1">
      <alignment vertical="center" wrapText="1"/>
    </xf>
    <xf numFmtId="49" fontId="20" fillId="0" borderId="26" xfId="0" applyNumberFormat="1" applyFont="1" applyBorder="1" applyAlignment="1">
      <alignment horizontal="center" vertical="center"/>
    </xf>
    <xf numFmtId="49" fontId="20" fillId="0" borderId="28" xfId="0" applyNumberFormat="1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2" fillId="0" borderId="11" xfId="0" applyFont="1" applyBorder="1" applyAlignment="1">
      <alignment vertical="center" wrapText="1"/>
    </xf>
    <xf numFmtId="0" fontId="20" fillId="0" borderId="22" xfId="0" applyFont="1" applyBorder="1" applyAlignment="1">
      <alignment vertical="center" wrapText="1"/>
    </xf>
    <xf numFmtId="0" fontId="20" fillId="0" borderId="23" xfId="0" applyFont="1" applyBorder="1" applyAlignment="1">
      <alignment vertical="center" wrapText="1"/>
    </xf>
    <xf numFmtId="0" fontId="20" fillId="0" borderId="24" xfId="0" applyFont="1" applyBorder="1" applyAlignment="1">
      <alignment vertical="center" wrapText="1"/>
    </xf>
    <xf numFmtId="49" fontId="20" fillId="0" borderId="22" xfId="0" applyNumberFormat="1" applyFont="1" applyBorder="1" applyAlignment="1">
      <alignment horizontal="center" vertical="center" wrapText="1"/>
    </xf>
    <xf numFmtId="49" fontId="20" fillId="0" borderId="24" xfId="0" applyNumberFormat="1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 wrapText="1"/>
    </xf>
    <xf numFmtId="49" fontId="20" fillId="0" borderId="22" xfId="0" applyNumberFormat="1" applyFont="1" applyBorder="1" applyAlignment="1">
      <alignment horizontal="center" vertical="center"/>
    </xf>
    <xf numFmtId="49" fontId="20" fillId="0" borderId="24" xfId="0" applyNumberFormat="1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20" fillId="0" borderId="18" xfId="0" applyFont="1" applyBorder="1" applyAlignment="1">
      <alignment vertical="center" wrapText="1"/>
    </xf>
    <xf numFmtId="0" fontId="20" fillId="0" borderId="19" xfId="0" applyFont="1" applyBorder="1" applyAlignment="1">
      <alignment vertical="center" wrapText="1"/>
    </xf>
    <xf numFmtId="0" fontId="20" fillId="0" borderId="20" xfId="0" applyFont="1" applyBorder="1" applyAlignment="1">
      <alignment vertical="center" wrapText="1"/>
    </xf>
    <xf numFmtId="49" fontId="20" fillId="0" borderId="18" xfId="0" applyNumberFormat="1" applyFont="1" applyBorder="1" applyAlignment="1">
      <alignment horizontal="center" vertical="center"/>
    </xf>
    <xf numFmtId="49" fontId="20" fillId="0" borderId="20" xfId="0" applyNumberFormat="1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76" fontId="17" fillId="0" borderId="9" xfId="0" applyNumberFormat="1" applyFont="1" applyBorder="1" applyAlignment="1">
      <alignment horizontal="center" vertical="center"/>
    </xf>
    <xf numFmtId="176" fontId="17" fillId="0" borderId="13" xfId="0" applyNumberFormat="1" applyFont="1" applyBorder="1" applyAlignment="1">
      <alignment horizontal="center" vertical="center"/>
    </xf>
    <xf numFmtId="176" fontId="17" fillId="0" borderId="10" xfId="0" applyNumberFormat="1" applyFont="1" applyBorder="1" applyAlignment="1">
      <alignment horizontal="center" vertical="center"/>
    </xf>
    <xf numFmtId="176" fontId="17" fillId="0" borderId="11" xfId="0" applyNumberFormat="1" applyFont="1" applyBorder="1" applyAlignment="1">
      <alignment horizontal="center" vertical="center"/>
    </xf>
    <xf numFmtId="176" fontId="17" fillId="0" borderId="14" xfId="0" applyNumberFormat="1" applyFont="1" applyBorder="1" applyAlignment="1">
      <alignment horizontal="center" vertical="center"/>
    </xf>
    <xf numFmtId="176" fontId="17" fillId="0" borderId="15" xfId="0" applyNumberFormat="1" applyFont="1" applyBorder="1" applyAlignment="1">
      <alignment horizontal="center" vertical="center"/>
    </xf>
    <xf numFmtId="49" fontId="17" fillId="0" borderId="10" xfId="0" applyNumberFormat="1" applyFont="1" applyBorder="1" applyAlignment="1">
      <alignment horizontal="center" vertical="center"/>
    </xf>
    <xf numFmtId="49" fontId="17" fillId="0" borderId="11" xfId="0" applyNumberFormat="1" applyFont="1" applyBorder="1" applyAlignment="1">
      <alignment horizontal="center" vertical="center"/>
    </xf>
    <xf numFmtId="49" fontId="17" fillId="0" borderId="14" xfId="0" applyNumberFormat="1" applyFont="1" applyBorder="1" applyAlignment="1">
      <alignment horizontal="center" vertical="center"/>
    </xf>
    <xf numFmtId="49" fontId="17" fillId="0" borderId="15" xfId="0" applyNumberFormat="1" applyFont="1" applyBorder="1" applyAlignment="1">
      <alignment horizontal="center" vertical="center"/>
    </xf>
    <xf numFmtId="176" fontId="17" fillId="0" borderId="10" xfId="0" applyNumberFormat="1" applyFont="1" applyBorder="1" applyAlignment="1">
      <alignment horizontal="center" vertical="center" wrapText="1"/>
    </xf>
    <xf numFmtId="176" fontId="17" fillId="0" borderId="12" xfId="0" applyNumberFormat="1" applyFont="1" applyBorder="1" applyAlignment="1">
      <alignment horizontal="center" vertical="center" wrapText="1"/>
    </xf>
    <xf numFmtId="176" fontId="17" fillId="0" borderId="14" xfId="0" applyNumberFormat="1" applyFont="1" applyBorder="1" applyAlignment="1">
      <alignment horizontal="center" vertical="center" wrapText="1"/>
    </xf>
    <xf numFmtId="176" fontId="17" fillId="0" borderId="16" xfId="0" applyNumberFormat="1" applyFont="1" applyBorder="1" applyAlignment="1">
      <alignment horizontal="center" vertical="center" wrapText="1"/>
    </xf>
    <xf numFmtId="176" fontId="17" fillId="0" borderId="11" xfId="0" applyNumberFormat="1" applyFont="1" applyBorder="1" applyAlignment="1">
      <alignment horizontal="center" vertical="center" wrapText="1"/>
    </xf>
    <xf numFmtId="176" fontId="17" fillId="0" borderId="12" xfId="0" applyNumberFormat="1" applyFont="1" applyBorder="1" applyAlignment="1">
      <alignment horizontal="center" vertical="center"/>
    </xf>
    <xf numFmtId="176" fontId="17" fillId="0" borderId="16" xfId="0" applyNumberFormat="1" applyFont="1" applyBorder="1" applyAlignment="1">
      <alignment horizontal="center" vertical="center"/>
    </xf>
    <xf numFmtId="176" fontId="17" fillId="0" borderId="12" xfId="1" applyNumberFormat="1" applyFont="1" applyBorder="1" applyAlignment="1">
      <alignment horizontal="center" vertical="center" wrapText="1"/>
    </xf>
    <xf numFmtId="176" fontId="17" fillId="0" borderId="16" xfId="1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left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177" fontId="15" fillId="0" borderId="6" xfId="0" applyNumberFormat="1" applyFont="1" applyBorder="1" applyAlignment="1">
      <alignment horizontal="center" vertical="center"/>
    </xf>
    <xf numFmtId="177" fontId="15" fillId="0" borderId="7" xfId="0" applyNumberFormat="1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409575</xdr:colOff>
      <xdr:row>96</xdr:row>
      <xdr:rowOff>0</xdr:rowOff>
    </xdr:from>
    <xdr:to>
      <xdr:col>13</xdr:col>
      <xdr:colOff>613007</xdr:colOff>
      <xdr:row>98</xdr:row>
      <xdr:rowOff>76200</xdr:rowOff>
    </xdr:to>
    <xdr:pic>
      <xdr:nvPicPr>
        <xdr:cNvPr id="2" name="그림 1" descr="임진규 서명.jpg">
          <a:extLst>
            <a:ext uri="{FF2B5EF4-FFF2-40B4-BE49-F238E27FC236}">
              <a16:creationId xmlns:a16="http://schemas.microsoft.com/office/drawing/2014/main" id="{D5849576-761A-417C-AA0A-EBA203C6F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81800" y="39357300"/>
          <a:ext cx="841607" cy="419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EAD43-2443-480A-9004-04B81EAE69CB}">
  <sheetPr>
    <tabColor rgb="FFFFFF00"/>
  </sheetPr>
  <dimension ref="A1:O103"/>
  <sheetViews>
    <sheetView tabSelected="1" workbookViewId="0">
      <selection activeCell="S11" sqref="S11"/>
    </sheetView>
  </sheetViews>
  <sheetFormatPr defaultRowHeight="17" x14ac:dyDescent="0.45"/>
  <cols>
    <col min="1" max="1" width="4.08203125" customWidth="1"/>
    <col min="2" max="2" width="5.5" customWidth="1"/>
    <col min="3" max="3" width="2.5" customWidth="1"/>
    <col min="4" max="4" width="7.5" customWidth="1"/>
    <col min="5" max="5" width="6.83203125" customWidth="1"/>
    <col min="6" max="6" width="7.33203125" style="20" customWidth="1"/>
    <col min="7" max="7" width="2.58203125" style="20" customWidth="1"/>
    <col min="8" max="8" width="4.33203125" style="21" customWidth="1"/>
    <col min="9" max="9" width="4" style="21" customWidth="1"/>
    <col min="10" max="10" width="9.33203125" style="21" customWidth="1"/>
    <col min="11" max="11" width="21" style="21" customWidth="1"/>
    <col min="12" max="12" width="8.33203125" style="21" customWidth="1"/>
    <col min="13" max="13" width="8.33203125" style="3" customWidth="1"/>
    <col min="14" max="15" width="8.83203125" customWidth="1"/>
  </cols>
  <sheetData>
    <row r="1" spans="1:15" ht="7.5" customHeight="1" x14ac:dyDescent="0.45">
      <c r="B1" s="1"/>
      <c r="C1" s="1"/>
      <c r="D1" s="1"/>
      <c r="E1" s="1"/>
      <c r="F1" s="2"/>
      <c r="G1" s="2"/>
      <c r="H1"/>
      <c r="I1"/>
      <c r="J1"/>
      <c r="K1"/>
      <c r="L1"/>
    </row>
    <row r="2" spans="1:15" ht="37.5" customHeight="1" x14ac:dyDescent="0.45">
      <c r="E2" s="91" t="s">
        <v>0</v>
      </c>
      <c r="F2" s="92"/>
      <c r="G2" s="4"/>
      <c r="H2" s="5"/>
      <c r="I2" s="95" t="s">
        <v>1</v>
      </c>
      <c r="J2" s="95"/>
      <c r="K2" s="95"/>
      <c r="L2" s="95"/>
      <c r="M2" s="95"/>
      <c r="N2" s="95"/>
      <c r="O2" s="95"/>
    </row>
    <row r="3" spans="1:15" ht="36" customHeight="1" x14ac:dyDescent="0.45">
      <c r="E3" s="93"/>
      <c r="F3" s="94"/>
      <c r="G3" s="4"/>
      <c r="H3" s="6"/>
      <c r="I3" s="96" t="s">
        <v>2</v>
      </c>
      <c r="J3" s="96"/>
      <c r="K3" s="96"/>
      <c r="L3" s="96"/>
      <c r="M3" s="96"/>
      <c r="N3" s="96"/>
      <c r="O3" s="96"/>
    </row>
    <row r="4" spans="1:15" s="7" customFormat="1" ht="21" customHeight="1" x14ac:dyDescent="0.45">
      <c r="A4" s="97" t="s">
        <v>3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</row>
    <row r="5" spans="1:15" ht="6" customHeight="1" x14ac:dyDescent="0.45">
      <c r="B5" s="1"/>
      <c r="C5" s="1"/>
      <c r="D5" s="1"/>
      <c r="E5" s="1"/>
      <c r="F5" s="2"/>
      <c r="G5" s="2"/>
      <c r="H5"/>
      <c r="I5"/>
      <c r="J5"/>
      <c r="K5"/>
      <c r="L5"/>
    </row>
    <row r="6" spans="1:15" s="9" customFormat="1" ht="14" x14ac:dyDescent="0.45">
      <c r="A6" s="8" t="s">
        <v>4</v>
      </c>
      <c r="F6" s="10"/>
      <c r="G6" s="10"/>
      <c r="H6" s="11"/>
      <c r="I6" s="11"/>
      <c r="J6" s="11"/>
      <c r="K6" s="11"/>
      <c r="L6" s="11"/>
      <c r="M6" s="12"/>
      <c r="N6" s="11"/>
      <c r="O6" s="11"/>
    </row>
    <row r="7" spans="1:15" s="9" customFormat="1" ht="14" x14ac:dyDescent="0.45">
      <c r="A7" s="8" t="s">
        <v>5</v>
      </c>
      <c r="D7" s="98" t="s">
        <v>186</v>
      </c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</row>
    <row r="8" spans="1:15" ht="9.75" customHeight="1" x14ac:dyDescent="0.45">
      <c r="F8" s="13"/>
      <c r="G8" s="13"/>
      <c r="H8" s="14"/>
      <c r="I8" s="14"/>
      <c r="J8" s="14"/>
      <c r="K8" s="14"/>
      <c r="L8" s="14"/>
      <c r="M8" s="15"/>
      <c r="N8" s="16"/>
      <c r="O8" s="16"/>
    </row>
    <row r="9" spans="1:15" s="19" customFormat="1" ht="22.5" customHeight="1" x14ac:dyDescent="0.45">
      <c r="A9" s="99" t="s">
        <v>6</v>
      </c>
      <c r="B9" s="100"/>
      <c r="C9" s="99" t="s">
        <v>187</v>
      </c>
      <c r="D9" s="101"/>
      <c r="E9" s="101"/>
      <c r="F9" s="101"/>
      <c r="G9" s="101"/>
      <c r="H9" s="101"/>
      <c r="I9" s="100"/>
      <c r="J9" s="18" t="s">
        <v>7</v>
      </c>
      <c r="K9" s="102">
        <v>3.7000000000000002E-3</v>
      </c>
      <c r="L9" s="103"/>
      <c r="M9" s="17" t="s">
        <v>8</v>
      </c>
      <c r="N9" s="99" t="s">
        <v>188</v>
      </c>
      <c r="O9" s="100"/>
    </row>
    <row r="10" spans="1:15" ht="6" customHeight="1" x14ac:dyDescent="0.45">
      <c r="N10" s="22"/>
    </row>
    <row r="11" spans="1:15" s="24" customFormat="1" ht="30.75" customHeight="1" x14ac:dyDescent="0.45">
      <c r="A11" s="72" t="s">
        <v>9</v>
      </c>
      <c r="B11" s="74" t="s">
        <v>10</v>
      </c>
      <c r="C11" s="75"/>
      <c r="D11" s="75"/>
      <c r="E11" s="75"/>
      <c r="F11" s="78" t="s">
        <v>11</v>
      </c>
      <c r="G11" s="79"/>
      <c r="H11" s="82" t="s">
        <v>12</v>
      </c>
      <c r="I11" s="83"/>
      <c r="J11" s="86" t="s">
        <v>13</v>
      </c>
      <c r="K11" s="87"/>
      <c r="L11" s="89" t="s">
        <v>14</v>
      </c>
      <c r="M11" s="63" t="s">
        <v>15</v>
      </c>
      <c r="N11" s="23" t="s">
        <v>16</v>
      </c>
      <c r="O11" s="23" t="s">
        <v>17</v>
      </c>
    </row>
    <row r="12" spans="1:15" s="24" customFormat="1" ht="15" customHeight="1" thickBot="1" x14ac:dyDescent="0.5">
      <c r="A12" s="73"/>
      <c r="B12" s="76"/>
      <c r="C12" s="77"/>
      <c r="D12" s="77"/>
      <c r="E12" s="77"/>
      <c r="F12" s="80"/>
      <c r="G12" s="81"/>
      <c r="H12" s="84"/>
      <c r="I12" s="85"/>
      <c r="J12" s="77"/>
      <c r="K12" s="88"/>
      <c r="L12" s="90"/>
      <c r="M12" s="64"/>
      <c r="N12" s="25">
        <v>1.0000000000000001E-5</v>
      </c>
      <c r="O12" s="26">
        <v>1E-4</v>
      </c>
    </row>
    <row r="13" spans="1:15" s="24" customFormat="1" ht="23.25" customHeight="1" thickTop="1" x14ac:dyDescent="0.45">
      <c r="A13" s="27">
        <v>1</v>
      </c>
      <c r="B13" s="65" t="s">
        <v>18</v>
      </c>
      <c r="C13" s="66"/>
      <c r="D13" s="66"/>
      <c r="E13" s="67"/>
      <c r="F13" s="68" t="s">
        <v>19</v>
      </c>
      <c r="G13" s="69"/>
      <c r="H13" s="70"/>
      <c r="I13" s="71"/>
      <c r="J13" s="70"/>
      <c r="K13" s="71"/>
      <c r="L13" s="28"/>
      <c r="M13" s="29" t="str">
        <f>IF($K$9&lt;&gt;"",IF(L13&gt;0,$K$9*L13*0.01,""),"")</f>
        <v/>
      </c>
      <c r="N13" s="30" t="str">
        <f>IF($M13&lt;&gt;"",IF($M13&gt;N$12,"O","X"),"")</f>
        <v/>
      </c>
      <c r="O13" s="31" t="str">
        <f>IF($M13&lt;&gt;"",IF($M13&gt;O$12,"O","X"),"")</f>
        <v/>
      </c>
    </row>
    <row r="14" spans="1:15" s="24" customFormat="1" ht="23.25" customHeight="1" x14ac:dyDescent="0.45">
      <c r="A14" s="32">
        <v>2</v>
      </c>
      <c r="B14" s="53" t="s">
        <v>20</v>
      </c>
      <c r="C14" s="54"/>
      <c r="D14" s="54"/>
      <c r="E14" s="55"/>
      <c r="F14" s="61" t="s">
        <v>21</v>
      </c>
      <c r="G14" s="62"/>
      <c r="H14" s="58"/>
      <c r="I14" s="59"/>
      <c r="J14" s="58"/>
      <c r="K14" s="59"/>
      <c r="L14" s="33"/>
      <c r="M14" s="34" t="str">
        <f t="shared" ref="M14:M77" si="0">IF($K$9&lt;&gt;"",IF(L14&gt;0,$K$9*L14*0.01,""),"")</f>
        <v/>
      </c>
      <c r="N14" s="35" t="str">
        <f t="shared" ref="N14:O37" si="1">IF($M14&lt;&gt;"",IF($M14&gt;N$12,"O","X"),"")</f>
        <v/>
      </c>
      <c r="O14" s="36" t="str">
        <f t="shared" si="1"/>
        <v/>
      </c>
    </row>
    <row r="15" spans="1:15" s="24" customFormat="1" ht="23.25" customHeight="1" x14ac:dyDescent="0.45">
      <c r="A15" s="32">
        <v>3</v>
      </c>
      <c r="B15" s="53" t="s">
        <v>22</v>
      </c>
      <c r="C15" s="54"/>
      <c r="D15" s="54"/>
      <c r="E15" s="55"/>
      <c r="F15" s="61" t="s">
        <v>23</v>
      </c>
      <c r="G15" s="62"/>
      <c r="H15" s="58"/>
      <c r="I15" s="59"/>
      <c r="J15" s="58"/>
      <c r="K15" s="59"/>
      <c r="L15" s="33"/>
      <c r="M15" s="34" t="str">
        <f t="shared" si="0"/>
        <v/>
      </c>
      <c r="N15" s="35" t="str">
        <f t="shared" si="1"/>
        <v/>
      </c>
      <c r="O15" s="36" t="str">
        <f t="shared" si="1"/>
        <v/>
      </c>
    </row>
    <row r="16" spans="1:15" s="24" customFormat="1" ht="23.25" customHeight="1" x14ac:dyDescent="0.45">
      <c r="A16" s="32">
        <v>4</v>
      </c>
      <c r="B16" s="53" t="s">
        <v>24</v>
      </c>
      <c r="C16" s="54"/>
      <c r="D16" s="54"/>
      <c r="E16" s="55"/>
      <c r="F16" s="61" t="s">
        <v>25</v>
      </c>
      <c r="G16" s="62"/>
      <c r="H16" s="58"/>
      <c r="I16" s="59"/>
      <c r="J16" s="58"/>
      <c r="K16" s="59"/>
      <c r="L16" s="33"/>
      <c r="M16" s="34" t="str">
        <f t="shared" si="0"/>
        <v/>
      </c>
      <c r="N16" s="35" t="str">
        <f t="shared" si="1"/>
        <v/>
      </c>
      <c r="O16" s="36" t="str">
        <f t="shared" si="1"/>
        <v/>
      </c>
    </row>
    <row r="17" spans="1:15" s="24" customFormat="1" ht="23.25" customHeight="1" x14ac:dyDescent="0.45">
      <c r="A17" s="32">
        <v>5</v>
      </c>
      <c r="B17" s="53" t="s">
        <v>26</v>
      </c>
      <c r="C17" s="54"/>
      <c r="D17" s="54"/>
      <c r="E17" s="55"/>
      <c r="F17" s="61" t="s">
        <v>27</v>
      </c>
      <c r="G17" s="62"/>
      <c r="H17" s="58"/>
      <c r="I17" s="59"/>
      <c r="J17" s="58" t="s">
        <v>189</v>
      </c>
      <c r="K17" s="59"/>
      <c r="L17" s="33">
        <v>3.2000000000000002E-3</v>
      </c>
      <c r="M17" s="34">
        <f t="shared" si="0"/>
        <v>1.1840000000000001E-7</v>
      </c>
      <c r="N17" s="35" t="str">
        <f t="shared" si="1"/>
        <v>X</v>
      </c>
      <c r="O17" s="36" t="str">
        <f t="shared" si="1"/>
        <v>X</v>
      </c>
    </row>
    <row r="18" spans="1:15" s="24" customFormat="1" ht="23.25" customHeight="1" x14ac:dyDescent="0.45">
      <c r="A18" s="32">
        <v>6</v>
      </c>
      <c r="B18" s="53" t="s">
        <v>28</v>
      </c>
      <c r="C18" s="54"/>
      <c r="D18" s="54"/>
      <c r="E18" s="55"/>
      <c r="F18" s="61" t="s">
        <v>29</v>
      </c>
      <c r="G18" s="62"/>
      <c r="H18" s="58"/>
      <c r="I18" s="59"/>
      <c r="J18" s="58"/>
      <c r="K18" s="59"/>
      <c r="L18" s="33"/>
      <c r="M18" s="34" t="str">
        <f t="shared" si="0"/>
        <v/>
      </c>
      <c r="N18" s="35" t="str">
        <f t="shared" si="1"/>
        <v/>
      </c>
      <c r="O18" s="36" t="str">
        <f t="shared" si="1"/>
        <v/>
      </c>
    </row>
    <row r="19" spans="1:15" s="24" customFormat="1" ht="23.25" customHeight="1" x14ac:dyDescent="0.45">
      <c r="A19" s="32">
        <v>7</v>
      </c>
      <c r="B19" s="53" t="s">
        <v>30</v>
      </c>
      <c r="C19" s="54"/>
      <c r="D19" s="54"/>
      <c r="E19" s="55"/>
      <c r="F19" s="61" t="s">
        <v>31</v>
      </c>
      <c r="G19" s="62"/>
      <c r="H19" s="58"/>
      <c r="I19" s="59"/>
      <c r="J19" s="58"/>
      <c r="K19" s="59"/>
      <c r="L19" s="33"/>
      <c r="M19" s="34" t="str">
        <f t="shared" si="0"/>
        <v/>
      </c>
      <c r="N19" s="35" t="str">
        <f t="shared" si="1"/>
        <v/>
      </c>
      <c r="O19" s="36" t="str">
        <f t="shared" si="1"/>
        <v/>
      </c>
    </row>
    <row r="20" spans="1:15" s="24" customFormat="1" ht="23.25" customHeight="1" x14ac:dyDescent="0.45">
      <c r="A20" s="32">
        <v>8</v>
      </c>
      <c r="B20" s="53" t="s">
        <v>32</v>
      </c>
      <c r="C20" s="54"/>
      <c r="D20" s="54"/>
      <c r="E20" s="55"/>
      <c r="F20" s="61" t="s">
        <v>33</v>
      </c>
      <c r="G20" s="62"/>
      <c r="H20" s="58"/>
      <c r="I20" s="59"/>
      <c r="J20" s="58"/>
      <c r="K20" s="59"/>
      <c r="L20" s="33"/>
      <c r="M20" s="34" t="str">
        <f t="shared" si="0"/>
        <v/>
      </c>
      <c r="N20" s="35" t="str">
        <f t="shared" si="1"/>
        <v/>
      </c>
      <c r="O20" s="36" t="str">
        <f t="shared" si="1"/>
        <v/>
      </c>
    </row>
    <row r="21" spans="1:15" s="24" customFormat="1" ht="33.75" customHeight="1" x14ac:dyDescent="0.45">
      <c r="A21" s="32">
        <v>9</v>
      </c>
      <c r="B21" s="53" t="s">
        <v>34</v>
      </c>
      <c r="C21" s="54"/>
      <c r="D21" s="54"/>
      <c r="E21" s="55"/>
      <c r="F21" s="56" t="s">
        <v>35</v>
      </c>
      <c r="G21" s="57"/>
      <c r="H21" s="58"/>
      <c r="I21" s="59"/>
      <c r="J21" s="58"/>
      <c r="K21" s="59"/>
      <c r="L21" s="33"/>
      <c r="M21" s="34" t="str">
        <f t="shared" si="0"/>
        <v/>
      </c>
      <c r="N21" s="35" t="str">
        <f t="shared" si="1"/>
        <v/>
      </c>
      <c r="O21" s="36" t="str">
        <f t="shared" si="1"/>
        <v/>
      </c>
    </row>
    <row r="22" spans="1:15" s="24" customFormat="1" ht="23.25" customHeight="1" x14ac:dyDescent="0.45">
      <c r="A22" s="32">
        <v>10</v>
      </c>
      <c r="B22" s="53" t="s">
        <v>36</v>
      </c>
      <c r="C22" s="54"/>
      <c r="D22" s="54"/>
      <c r="E22" s="55"/>
      <c r="F22" s="56" t="s">
        <v>37</v>
      </c>
      <c r="G22" s="57"/>
      <c r="H22" s="58"/>
      <c r="I22" s="59"/>
      <c r="J22" s="58"/>
      <c r="K22" s="59"/>
      <c r="L22" s="33"/>
      <c r="M22" s="34" t="str">
        <f t="shared" si="0"/>
        <v/>
      </c>
      <c r="N22" s="35" t="str">
        <f t="shared" si="1"/>
        <v/>
      </c>
      <c r="O22" s="36" t="str">
        <f t="shared" si="1"/>
        <v/>
      </c>
    </row>
    <row r="23" spans="1:15" s="24" customFormat="1" ht="23.25" customHeight="1" x14ac:dyDescent="0.45">
      <c r="A23" s="32">
        <v>11</v>
      </c>
      <c r="B23" s="53" t="s">
        <v>38</v>
      </c>
      <c r="C23" s="54"/>
      <c r="D23" s="54"/>
      <c r="E23" s="55"/>
      <c r="F23" s="56" t="s">
        <v>39</v>
      </c>
      <c r="G23" s="57"/>
      <c r="H23" s="58"/>
      <c r="I23" s="59"/>
      <c r="J23" s="58"/>
      <c r="K23" s="59"/>
      <c r="L23" s="33"/>
      <c r="M23" s="34" t="str">
        <f t="shared" si="0"/>
        <v/>
      </c>
      <c r="N23" s="35" t="str">
        <f t="shared" si="1"/>
        <v/>
      </c>
      <c r="O23" s="36" t="str">
        <f t="shared" si="1"/>
        <v/>
      </c>
    </row>
    <row r="24" spans="1:15" s="24" customFormat="1" ht="23.25" customHeight="1" x14ac:dyDescent="0.45">
      <c r="A24" s="32">
        <v>12</v>
      </c>
      <c r="B24" s="53" t="s">
        <v>40</v>
      </c>
      <c r="C24" s="54"/>
      <c r="D24" s="54"/>
      <c r="E24" s="55"/>
      <c r="F24" s="56" t="s">
        <v>41</v>
      </c>
      <c r="G24" s="57"/>
      <c r="H24" s="58"/>
      <c r="I24" s="59"/>
      <c r="J24" s="58"/>
      <c r="K24" s="59"/>
      <c r="L24" s="33"/>
      <c r="M24" s="34" t="str">
        <f t="shared" si="0"/>
        <v/>
      </c>
      <c r="N24" s="35" t="str">
        <f t="shared" si="1"/>
        <v/>
      </c>
      <c r="O24" s="36" t="str">
        <f t="shared" si="1"/>
        <v/>
      </c>
    </row>
    <row r="25" spans="1:15" s="24" customFormat="1" ht="23.25" customHeight="1" x14ac:dyDescent="0.45">
      <c r="A25" s="32">
        <v>13</v>
      </c>
      <c r="B25" s="53" t="s">
        <v>42</v>
      </c>
      <c r="C25" s="54"/>
      <c r="D25" s="54"/>
      <c r="E25" s="55"/>
      <c r="F25" s="56" t="s">
        <v>43</v>
      </c>
      <c r="G25" s="57"/>
      <c r="H25" s="58"/>
      <c r="I25" s="59"/>
      <c r="J25" s="58"/>
      <c r="K25" s="59"/>
      <c r="L25" s="33"/>
      <c r="M25" s="34" t="str">
        <f t="shared" si="0"/>
        <v/>
      </c>
      <c r="N25" s="35" t="str">
        <f t="shared" si="1"/>
        <v/>
      </c>
      <c r="O25" s="36" t="str">
        <f t="shared" si="1"/>
        <v/>
      </c>
    </row>
    <row r="26" spans="1:15" s="24" customFormat="1" ht="23.25" customHeight="1" x14ac:dyDescent="0.45">
      <c r="A26" s="32">
        <v>14</v>
      </c>
      <c r="B26" s="53" t="s">
        <v>44</v>
      </c>
      <c r="C26" s="54"/>
      <c r="D26" s="54"/>
      <c r="E26" s="55"/>
      <c r="F26" s="56" t="s">
        <v>45</v>
      </c>
      <c r="G26" s="57"/>
      <c r="H26" s="58"/>
      <c r="I26" s="59"/>
      <c r="J26" s="58"/>
      <c r="K26" s="59"/>
      <c r="L26" s="33"/>
      <c r="M26" s="34" t="str">
        <f t="shared" si="0"/>
        <v/>
      </c>
      <c r="N26" s="35" t="str">
        <f t="shared" si="1"/>
        <v/>
      </c>
      <c r="O26" s="36" t="str">
        <f t="shared" si="1"/>
        <v/>
      </c>
    </row>
    <row r="27" spans="1:15" s="24" customFormat="1" ht="23.25" customHeight="1" x14ac:dyDescent="0.45">
      <c r="A27" s="32">
        <v>15</v>
      </c>
      <c r="B27" s="53" t="s">
        <v>46</v>
      </c>
      <c r="C27" s="54"/>
      <c r="D27" s="54"/>
      <c r="E27" s="55"/>
      <c r="F27" s="56" t="s">
        <v>47</v>
      </c>
      <c r="G27" s="57"/>
      <c r="H27" s="58"/>
      <c r="I27" s="59"/>
      <c r="J27" s="58"/>
      <c r="K27" s="59"/>
      <c r="L27" s="33"/>
      <c r="M27" s="34" t="str">
        <f t="shared" si="0"/>
        <v/>
      </c>
      <c r="N27" s="35" t="str">
        <f t="shared" si="1"/>
        <v/>
      </c>
      <c r="O27" s="36" t="str">
        <f t="shared" si="1"/>
        <v/>
      </c>
    </row>
    <row r="28" spans="1:15" s="24" customFormat="1" ht="30" customHeight="1" x14ac:dyDescent="0.45">
      <c r="A28" s="32">
        <v>16</v>
      </c>
      <c r="B28" s="53" t="s">
        <v>48</v>
      </c>
      <c r="C28" s="54"/>
      <c r="D28" s="54"/>
      <c r="E28" s="55"/>
      <c r="F28" s="56" t="s">
        <v>49</v>
      </c>
      <c r="G28" s="57"/>
      <c r="H28" s="58"/>
      <c r="I28" s="59"/>
      <c r="J28" s="60" t="s">
        <v>190</v>
      </c>
      <c r="K28" s="59"/>
      <c r="L28" s="33">
        <v>0.2949</v>
      </c>
      <c r="M28" s="34">
        <f t="shared" si="0"/>
        <v>1.09113E-5</v>
      </c>
      <c r="N28" s="35" t="str">
        <f t="shared" si="1"/>
        <v>O</v>
      </c>
      <c r="O28" s="36" t="str">
        <f t="shared" si="1"/>
        <v>X</v>
      </c>
    </row>
    <row r="29" spans="1:15" s="24" customFormat="1" ht="23.25" customHeight="1" x14ac:dyDescent="0.45">
      <c r="A29" s="32">
        <v>17</v>
      </c>
      <c r="B29" s="53" t="s">
        <v>50</v>
      </c>
      <c r="C29" s="54"/>
      <c r="D29" s="54"/>
      <c r="E29" s="55"/>
      <c r="F29" s="56" t="s">
        <v>51</v>
      </c>
      <c r="G29" s="57"/>
      <c r="H29" s="58"/>
      <c r="I29" s="59"/>
      <c r="J29" s="58"/>
      <c r="K29" s="59"/>
      <c r="L29" s="33"/>
      <c r="M29" s="34" t="str">
        <f t="shared" si="0"/>
        <v/>
      </c>
      <c r="N29" s="35" t="str">
        <f t="shared" si="1"/>
        <v/>
      </c>
      <c r="O29" s="36" t="str">
        <f t="shared" si="1"/>
        <v/>
      </c>
    </row>
    <row r="30" spans="1:15" s="24" customFormat="1" ht="54.75" customHeight="1" x14ac:dyDescent="0.45">
      <c r="A30" s="32">
        <v>18</v>
      </c>
      <c r="B30" s="53" t="s">
        <v>52</v>
      </c>
      <c r="C30" s="54"/>
      <c r="D30" s="54"/>
      <c r="E30" s="55"/>
      <c r="F30" s="56" t="s">
        <v>53</v>
      </c>
      <c r="G30" s="57"/>
      <c r="H30" s="58"/>
      <c r="I30" s="59"/>
      <c r="J30" s="60" t="s">
        <v>191</v>
      </c>
      <c r="K30" s="59"/>
      <c r="L30" s="33">
        <v>9.9099999999999994E-2</v>
      </c>
      <c r="M30" s="34">
        <f t="shared" si="0"/>
        <v>3.6667E-6</v>
      </c>
      <c r="N30" s="35" t="str">
        <f t="shared" si="1"/>
        <v>X</v>
      </c>
      <c r="O30" s="36" t="str">
        <f t="shared" si="1"/>
        <v>X</v>
      </c>
    </row>
    <row r="31" spans="1:15" s="24" customFormat="1" ht="54.75" customHeight="1" x14ac:dyDescent="0.45">
      <c r="A31" s="32">
        <v>19</v>
      </c>
      <c r="B31" s="53" t="s">
        <v>54</v>
      </c>
      <c r="C31" s="54"/>
      <c r="D31" s="54"/>
      <c r="E31" s="55"/>
      <c r="F31" s="56" t="s">
        <v>55</v>
      </c>
      <c r="G31" s="57"/>
      <c r="H31" s="58"/>
      <c r="I31" s="59"/>
      <c r="J31" s="58"/>
      <c r="K31" s="59"/>
      <c r="L31" s="33"/>
      <c r="M31" s="34" t="str">
        <f t="shared" si="0"/>
        <v/>
      </c>
      <c r="N31" s="35" t="str">
        <f t="shared" si="1"/>
        <v/>
      </c>
      <c r="O31" s="36" t="str">
        <f t="shared" si="1"/>
        <v/>
      </c>
    </row>
    <row r="32" spans="1:15" s="24" customFormat="1" ht="44.25" customHeight="1" x14ac:dyDescent="0.45">
      <c r="A32" s="32">
        <v>20</v>
      </c>
      <c r="B32" s="53" t="s">
        <v>56</v>
      </c>
      <c r="C32" s="54"/>
      <c r="D32" s="54"/>
      <c r="E32" s="55"/>
      <c r="F32" s="56" t="s">
        <v>57</v>
      </c>
      <c r="G32" s="57"/>
      <c r="H32" s="58"/>
      <c r="I32" s="59"/>
      <c r="J32" s="58" t="s">
        <v>189</v>
      </c>
      <c r="K32" s="59"/>
      <c r="L32" s="33">
        <v>3.2000000000000002E-3</v>
      </c>
      <c r="M32" s="34">
        <f t="shared" si="0"/>
        <v>1.1840000000000001E-7</v>
      </c>
      <c r="N32" s="35" t="str">
        <f t="shared" si="1"/>
        <v>X</v>
      </c>
      <c r="O32" s="36" t="str">
        <f t="shared" si="1"/>
        <v>X</v>
      </c>
    </row>
    <row r="33" spans="1:15" s="24" customFormat="1" ht="33.75" customHeight="1" x14ac:dyDescent="0.45">
      <c r="A33" s="32">
        <v>21</v>
      </c>
      <c r="B33" s="53" t="s">
        <v>58</v>
      </c>
      <c r="C33" s="54"/>
      <c r="D33" s="54"/>
      <c r="E33" s="55"/>
      <c r="F33" s="56" t="s">
        <v>59</v>
      </c>
      <c r="G33" s="57"/>
      <c r="H33" s="58"/>
      <c r="I33" s="59"/>
      <c r="J33" s="58"/>
      <c r="K33" s="59"/>
      <c r="L33" s="33"/>
      <c r="M33" s="34" t="str">
        <f t="shared" si="0"/>
        <v/>
      </c>
      <c r="N33" s="35" t="str">
        <f t="shared" si="1"/>
        <v/>
      </c>
      <c r="O33" s="36" t="str">
        <f t="shared" si="1"/>
        <v/>
      </c>
    </row>
    <row r="34" spans="1:15" s="24" customFormat="1" ht="23.25" customHeight="1" x14ac:dyDescent="0.45">
      <c r="A34" s="32">
        <v>22</v>
      </c>
      <c r="B34" s="53" t="s">
        <v>60</v>
      </c>
      <c r="C34" s="54"/>
      <c r="D34" s="54"/>
      <c r="E34" s="55"/>
      <c r="F34" s="56" t="s">
        <v>61</v>
      </c>
      <c r="G34" s="57"/>
      <c r="H34" s="58"/>
      <c r="I34" s="59"/>
      <c r="J34" s="58"/>
      <c r="K34" s="59"/>
      <c r="L34" s="33"/>
      <c r="M34" s="34" t="str">
        <f t="shared" si="0"/>
        <v/>
      </c>
      <c r="N34" s="35" t="str">
        <f t="shared" si="1"/>
        <v/>
      </c>
      <c r="O34" s="36" t="str">
        <f t="shared" si="1"/>
        <v/>
      </c>
    </row>
    <row r="35" spans="1:15" s="24" customFormat="1" ht="33.75" customHeight="1" x14ac:dyDescent="0.45">
      <c r="A35" s="32">
        <v>23</v>
      </c>
      <c r="B35" s="53" t="s">
        <v>62</v>
      </c>
      <c r="C35" s="54"/>
      <c r="D35" s="54"/>
      <c r="E35" s="55"/>
      <c r="F35" s="56" t="s">
        <v>63</v>
      </c>
      <c r="G35" s="57"/>
      <c r="H35" s="58"/>
      <c r="I35" s="59"/>
      <c r="J35" s="58"/>
      <c r="K35" s="59"/>
      <c r="L35" s="33"/>
      <c r="M35" s="34" t="str">
        <f t="shared" si="0"/>
        <v/>
      </c>
      <c r="N35" s="35" t="str">
        <f t="shared" si="1"/>
        <v/>
      </c>
      <c r="O35" s="36" t="str">
        <f t="shared" si="1"/>
        <v/>
      </c>
    </row>
    <row r="36" spans="1:15" s="24" customFormat="1" ht="33.75" customHeight="1" x14ac:dyDescent="0.45">
      <c r="A36" s="32">
        <v>24</v>
      </c>
      <c r="B36" s="53" t="s">
        <v>64</v>
      </c>
      <c r="C36" s="54"/>
      <c r="D36" s="54"/>
      <c r="E36" s="55"/>
      <c r="F36" s="56" t="s">
        <v>65</v>
      </c>
      <c r="G36" s="57"/>
      <c r="H36" s="58"/>
      <c r="I36" s="59"/>
      <c r="J36" s="58"/>
      <c r="K36" s="59"/>
      <c r="L36" s="33"/>
      <c r="M36" s="34" t="str">
        <f t="shared" si="0"/>
        <v/>
      </c>
      <c r="N36" s="35" t="str">
        <f t="shared" si="1"/>
        <v/>
      </c>
      <c r="O36" s="36" t="str">
        <f t="shared" si="1"/>
        <v/>
      </c>
    </row>
    <row r="37" spans="1:15" s="24" customFormat="1" ht="23.25" customHeight="1" x14ac:dyDescent="0.45">
      <c r="A37" s="32">
        <v>25</v>
      </c>
      <c r="B37" s="53" t="s">
        <v>66</v>
      </c>
      <c r="C37" s="54"/>
      <c r="D37" s="54"/>
      <c r="E37" s="55"/>
      <c r="F37" s="56" t="s">
        <v>67</v>
      </c>
      <c r="G37" s="57"/>
      <c r="H37" s="58"/>
      <c r="I37" s="59"/>
      <c r="J37" s="58"/>
      <c r="K37" s="59"/>
      <c r="L37" s="33"/>
      <c r="M37" s="34" t="str">
        <f t="shared" si="0"/>
        <v/>
      </c>
      <c r="N37" s="35" t="str">
        <f t="shared" si="1"/>
        <v/>
      </c>
      <c r="O37" s="36" t="str">
        <f t="shared" si="1"/>
        <v/>
      </c>
    </row>
    <row r="38" spans="1:15" s="24" customFormat="1" ht="44.25" customHeight="1" x14ac:dyDescent="0.45">
      <c r="A38" s="32">
        <v>26</v>
      </c>
      <c r="B38" s="53" t="s">
        <v>68</v>
      </c>
      <c r="C38" s="54"/>
      <c r="D38" s="54"/>
      <c r="E38" s="55"/>
      <c r="F38" s="56" t="s">
        <v>69</v>
      </c>
      <c r="G38" s="57"/>
      <c r="H38" s="58"/>
      <c r="I38" s="59"/>
      <c r="J38" s="58" t="s">
        <v>192</v>
      </c>
      <c r="K38" s="59"/>
      <c r="L38" s="33">
        <v>1.29E-2</v>
      </c>
      <c r="M38" s="34">
        <f t="shared" si="0"/>
        <v>4.7730000000000007E-7</v>
      </c>
      <c r="N38" s="35" t="str">
        <f t="shared" ref="N38:O95" si="2">IF($M38&lt;&gt;"",IF($M38&gt;N$12,"O","X"),"")</f>
        <v>X</v>
      </c>
      <c r="O38" s="36" t="str">
        <f t="shared" si="2"/>
        <v>X</v>
      </c>
    </row>
    <row r="39" spans="1:15" s="24" customFormat="1" ht="54.75" customHeight="1" x14ac:dyDescent="0.45">
      <c r="A39" s="32">
        <v>27</v>
      </c>
      <c r="B39" s="53" t="s">
        <v>70</v>
      </c>
      <c r="C39" s="54"/>
      <c r="D39" s="54"/>
      <c r="E39" s="55"/>
      <c r="F39" s="56" t="s">
        <v>71</v>
      </c>
      <c r="G39" s="57"/>
      <c r="H39" s="58"/>
      <c r="I39" s="59"/>
      <c r="J39" s="58" t="s">
        <v>193</v>
      </c>
      <c r="K39" s="59"/>
      <c r="L39" s="33">
        <v>2.8397000000000001</v>
      </c>
      <c r="M39" s="34">
        <f t="shared" si="0"/>
        <v>1.0506890000000001E-4</v>
      </c>
      <c r="N39" s="35" t="str">
        <f t="shared" si="2"/>
        <v>O</v>
      </c>
      <c r="O39" s="36" t="str">
        <f t="shared" si="2"/>
        <v>O</v>
      </c>
    </row>
    <row r="40" spans="1:15" s="24" customFormat="1" ht="54.75" customHeight="1" x14ac:dyDescent="0.45">
      <c r="A40" s="32">
        <v>28</v>
      </c>
      <c r="B40" s="53" t="s">
        <v>72</v>
      </c>
      <c r="C40" s="54"/>
      <c r="D40" s="54"/>
      <c r="E40" s="55"/>
      <c r="F40" s="56" t="s">
        <v>73</v>
      </c>
      <c r="G40" s="57"/>
      <c r="H40" s="58"/>
      <c r="I40" s="59"/>
      <c r="J40" s="58"/>
      <c r="K40" s="59"/>
      <c r="L40" s="33"/>
      <c r="M40" s="34" t="str">
        <f t="shared" si="0"/>
        <v/>
      </c>
      <c r="N40" s="35" t="str">
        <f t="shared" si="2"/>
        <v/>
      </c>
      <c r="O40" s="36" t="str">
        <f t="shared" si="2"/>
        <v/>
      </c>
    </row>
    <row r="41" spans="1:15" s="24" customFormat="1" ht="44.25" customHeight="1" x14ac:dyDescent="0.45">
      <c r="A41" s="32">
        <v>29</v>
      </c>
      <c r="B41" s="53" t="s">
        <v>74</v>
      </c>
      <c r="C41" s="54"/>
      <c r="D41" s="54"/>
      <c r="E41" s="55"/>
      <c r="F41" s="56" t="s">
        <v>75</v>
      </c>
      <c r="G41" s="57"/>
      <c r="H41" s="58"/>
      <c r="I41" s="59"/>
      <c r="J41" s="58"/>
      <c r="K41" s="59"/>
      <c r="L41" s="33"/>
      <c r="M41" s="34" t="str">
        <f t="shared" si="0"/>
        <v/>
      </c>
      <c r="N41" s="35" t="str">
        <f t="shared" si="2"/>
        <v/>
      </c>
      <c r="O41" s="36" t="str">
        <f t="shared" si="2"/>
        <v/>
      </c>
    </row>
    <row r="42" spans="1:15" s="24" customFormat="1" ht="65.25" customHeight="1" x14ac:dyDescent="0.45">
      <c r="A42" s="32">
        <v>30</v>
      </c>
      <c r="B42" s="53" t="s">
        <v>76</v>
      </c>
      <c r="C42" s="54"/>
      <c r="D42" s="54"/>
      <c r="E42" s="55"/>
      <c r="F42" s="56" t="s">
        <v>77</v>
      </c>
      <c r="G42" s="57"/>
      <c r="H42" s="58"/>
      <c r="I42" s="59"/>
      <c r="J42" s="58"/>
      <c r="K42" s="59"/>
      <c r="L42" s="33"/>
      <c r="M42" s="34" t="str">
        <f t="shared" si="0"/>
        <v/>
      </c>
      <c r="N42" s="35" t="str">
        <f t="shared" si="2"/>
        <v/>
      </c>
      <c r="O42" s="36" t="str">
        <f t="shared" si="2"/>
        <v/>
      </c>
    </row>
    <row r="43" spans="1:15" s="24" customFormat="1" ht="33.75" customHeight="1" x14ac:dyDescent="0.45">
      <c r="A43" s="32">
        <v>31</v>
      </c>
      <c r="B43" s="53" t="s">
        <v>78</v>
      </c>
      <c r="C43" s="54"/>
      <c r="D43" s="54"/>
      <c r="E43" s="55"/>
      <c r="F43" s="56" t="s">
        <v>79</v>
      </c>
      <c r="G43" s="57"/>
      <c r="H43" s="58"/>
      <c r="I43" s="59"/>
      <c r="J43" s="58"/>
      <c r="K43" s="59"/>
      <c r="L43" s="33"/>
      <c r="M43" s="34" t="str">
        <f t="shared" si="0"/>
        <v/>
      </c>
      <c r="N43" s="35" t="str">
        <f t="shared" si="2"/>
        <v/>
      </c>
      <c r="O43" s="36" t="str">
        <f t="shared" si="2"/>
        <v/>
      </c>
    </row>
    <row r="44" spans="1:15" s="24" customFormat="1" ht="23.25" customHeight="1" x14ac:dyDescent="0.45">
      <c r="A44" s="32">
        <v>32</v>
      </c>
      <c r="B44" s="53" t="s">
        <v>80</v>
      </c>
      <c r="C44" s="54"/>
      <c r="D44" s="54"/>
      <c r="E44" s="55"/>
      <c r="F44" s="56" t="s">
        <v>81</v>
      </c>
      <c r="G44" s="57"/>
      <c r="H44" s="58"/>
      <c r="I44" s="59"/>
      <c r="J44" s="58" t="s">
        <v>194</v>
      </c>
      <c r="K44" s="59"/>
      <c r="L44" s="33">
        <v>1.9300000000000001E-2</v>
      </c>
      <c r="M44" s="34">
        <f t="shared" si="0"/>
        <v>7.1410000000000007E-7</v>
      </c>
      <c r="N44" s="35" t="str">
        <f t="shared" si="2"/>
        <v>X</v>
      </c>
      <c r="O44" s="36" t="str">
        <f t="shared" si="2"/>
        <v>X</v>
      </c>
    </row>
    <row r="45" spans="1:15" s="24" customFormat="1" ht="44.25" customHeight="1" x14ac:dyDescent="0.45">
      <c r="A45" s="32">
        <v>33</v>
      </c>
      <c r="B45" s="53" t="s">
        <v>82</v>
      </c>
      <c r="C45" s="54"/>
      <c r="D45" s="54"/>
      <c r="E45" s="55"/>
      <c r="F45" s="56" t="s">
        <v>83</v>
      </c>
      <c r="G45" s="57"/>
      <c r="H45" s="58"/>
      <c r="I45" s="59"/>
      <c r="J45" s="58"/>
      <c r="K45" s="59"/>
      <c r="L45" s="33"/>
      <c r="M45" s="34" t="str">
        <f t="shared" si="0"/>
        <v/>
      </c>
      <c r="N45" s="35" t="str">
        <f t="shared" si="2"/>
        <v/>
      </c>
      <c r="O45" s="36" t="str">
        <f t="shared" si="2"/>
        <v/>
      </c>
    </row>
    <row r="46" spans="1:15" s="24" customFormat="1" ht="23.25" customHeight="1" x14ac:dyDescent="0.45">
      <c r="A46" s="32">
        <v>34</v>
      </c>
      <c r="B46" s="53" t="s">
        <v>84</v>
      </c>
      <c r="C46" s="54"/>
      <c r="D46" s="54"/>
      <c r="E46" s="55"/>
      <c r="F46" s="56" t="s">
        <v>85</v>
      </c>
      <c r="G46" s="57"/>
      <c r="H46" s="58"/>
      <c r="I46" s="59"/>
      <c r="J46" s="58"/>
      <c r="K46" s="59"/>
      <c r="L46" s="33"/>
      <c r="M46" s="34" t="str">
        <f t="shared" si="0"/>
        <v/>
      </c>
      <c r="N46" s="35" t="str">
        <f t="shared" si="2"/>
        <v/>
      </c>
      <c r="O46" s="36" t="str">
        <f t="shared" si="2"/>
        <v/>
      </c>
    </row>
    <row r="47" spans="1:15" s="24" customFormat="1" ht="23.25" customHeight="1" x14ac:dyDescent="0.45">
      <c r="A47" s="32">
        <v>35</v>
      </c>
      <c r="B47" s="53" t="s">
        <v>86</v>
      </c>
      <c r="C47" s="54"/>
      <c r="D47" s="54"/>
      <c r="E47" s="55"/>
      <c r="F47" s="56" t="s">
        <v>87</v>
      </c>
      <c r="G47" s="57"/>
      <c r="H47" s="58"/>
      <c r="I47" s="59"/>
      <c r="J47" s="58"/>
      <c r="K47" s="59"/>
      <c r="L47" s="33"/>
      <c r="M47" s="34" t="str">
        <f t="shared" si="0"/>
        <v/>
      </c>
      <c r="N47" s="35" t="str">
        <f t="shared" si="2"/>
        <v/>
      </c>
      <c r="O47" s="36" t="str">
        <f t="shared" si="2"/>
        <v/>
      </c>
    </row>
    <row r="48" spans="1:15" s="24" customFormat="1" ht="33.75" customHeight="1" x14ac:dyDescent="0.45">
      <c r="A48" s="32">
        <v>36</v>
      </c>
      <c r="B48" s="53" t="s">
        <v>88</v>
      </c>
      <c r="C48" s="54"/>
      <c r="D48" s="54"/>
      <c r="E48" s="55"/>
      <c r="F48" s="56" t="s">
        <v>89</v>
      </c>
      <c r="G48" s="57"/>
      <c r="H48" s="58"/>
      <c r="I48" s="59"/>
      <c r="J48" s="58"/>
      <c r="K48" s="59"/>
      <c r="L48" s="33"/>
      <c r="M48" s="34" t="str">
        <f t="shared" si="0"/>
        <v/>
      </c>
      <c r="N48" s="35" t="str">
        <f t="shared" si="2"/>
        <v/>
      </c>
      <c r="O48" s="36" t="str">
        <f t="shared" si="2"/>
        <v/>
      </c>
    </row>
    <row r="49" spans="1:15" s="24" customFormat="1" ht="44.25" customHeight="1" x14ac:dyDescent="0.45">
      <c r="A49" s="32">
        <v>37</v>
      </c>
      <c r="B49" s="53" t="s">
        <v>90</v>
      </c>
      <c r="C49" s="54"/>
      <c r="D49" s="54"/>
      <c r="E49" s="55"/>
      <c r="F49" s="56" t="s">
        <v>91</v>
      </c>
      <c r="G49" s="57"/>
      <c r="H49" s="58"/>
      <c r="I49" s="59"/>
      <c r="J49" s="58"/>
      <c r="K49" s="59"/>
      <c r="L49" s="33"/>
      <c r="M49" s="34" t="str">
        <f t="shared" si="0"/>
        <v/>
      </c>
      <c r="N49" s="35" t="str">
        <f t="shared" si="2"/>
        <v/>
      </c>
      <c r="O49" s="36" t="str">
        <f t="shared" si="2"/>
        <v/>
      </c>
    </row>
    <row r="50" spans="1:15" s="24" customFormat="1" ht="23.25" customHeight="1" x14ac:dyDescent="0.45">
      <c r="A50" s="32">
        <v>38</v>
      </c>
      <c r="B50" s="53" t="s">
        <v>92</v>
      </c>
      <c r="C50" s="54"/>
      <c r="D50" s="54"/>
      <c r="E50" s="55"/>
      <c r="F50" s="56" t="s">
        <v>93</v>
      </c>
      <c r="G50" s="57"/>
      <c r="H50" s="58"/>
      <c r="I50" s="59"/>
      <c r="J50" s="58"/>
      <c r="K50" s="59"/>
      <c r="L50" s="33"/>
      <c r="M50" s="34" t="str">
        <f t="shared" si="0"/>
        <v/>
      </c>
      <c r="N50" s="35" t="str">
        <f t="shared" si="2"/>
        <v/>
      </c>
      <c r="O50" s="36" t="str">
        <f t="shared" si="2"/>
        <v/>
      </c>
    </row>
    <row r="51" spans="1:15" s="24" customFormat="1" ht="23.25" customHeight="1" x14ac:dyDescent="0.45">
      <c r="A51" s="32">
        <v>39</v>
      </c>
      <c r="B51" s="53" t="s">
        <v>94</v>
      </c>
      <c r="C51" s="54"/>
      <c r="D51" s="54"/>
      <c r="E51" s="55"/>
      <c r="F51" s="56" t="s">
        <v>95</v>
      </c>
      <c r="G51" s="57"/>
      <c r="H51" s="58"/>
      <c r="I51" s="59"/>
      <c r="J51" s="58"/>
      <c r="K51" s="59"/>
      <c r="L51" s="33"/>
      <c r="M51" s="34" t="str">
        <f t="shared" si="0"/>
        <v/>
      </c>
      <c r="N51" s="35" t="str">
        <f t="shared" si="2"/>
        <v/>
      </c>
      <c r="O51" s="36" t="str">
        <f t="shared" si="2"/>
        <v/>
      </c>
    </row>
    <row r="52" spans="1:15" s="24" customFormat="1" ht="23.25" customHeight="1" x14ac:dyDescent="0.45">
      <c r="A52" s="32">
        <v>40</v>
      </c>
      <c r="B52" s="53" t="s">
        <v>96</v>
      </c>
      <c r="C52" s="54"/>
      <c r="D52" s="54"/>
      <c r="E52" s="55"/>
      <c r="F52" s="56" t="s">
        <v>97</v>
      </c>
      <c r="G52" s="57"/>
      <c r="H52" s="58"/>
      <c r="I52" s="59"/>
      <c r="J52" s="58"/>
      <c r="K52" s="59"/>
      <c r="L52" s="33"/>
      <c r="M52" s="34" t="str">
        <f t="shared" si="0"/>
        <v/>
      </c>
      <c r="N52" s="35" t="str">
        <f t="shared" si="2"/>
        <v/>
      </c>
      <c r="O52" s="36" t="str">
        <f t="shared" si="2"/>
        <v/>
      </c>
    </row>
    <row r="53" spans="1:15" s="24" customFormat="1" ht="23.25" customHeight="1" x14ac:dyDescent="0.45">
      <c r="A53" s="32">
        <v>41</v>
      </c>
      <c r="B53" s="53" t="s">
        <v>98</v>
      </c>
      <c r="C53" s="54"/>
      <c r="D53" s="54"/>
      <c r="E53" s="55"/>
      <c r="F53" s="56" t="s">
        <v>99</v>
      </c>
      <c r="G53" s="57"/>
      <c r="H53" s="58"/>
      <c r="I53" s="59"/>
      <c r="J53" s="58"/>
      <c r="K53" s="59"/>
      <c r="L53" s="33"/>
      <c r="M53" s="34" t="str">
        <f t="shared" si="0"/>
        <v/>
      </c>
      <c r="N53" s="35" t="str">
        <f t="shared" si="2"/>
        <v/>
      </c>
      <c r="O53" s="36" t="str">
        <f t="shared" si="2"/>
        <v/>
      </c>
    </row>
    <row r="54" spans="1:15" s="24" customFormat="1" ht="23.25" customHeight="1" x14ac:dyDescent="0.45">
      <c r="A54" s="32">
        <v>42</v>
      </c>
      <c r="B54" s="53" t="s">
        <v>100</v>
      </c>
      <c r="C54" s="54"/>
      <c r="D54" s="54"/>
      <c r="E54" s="55"/>
      <c r="F54" s="56" t="s">
        <v>101</v>
      </c>
      <c r="G54" s="57"/>
      <c r="H54" s="58"/>
      <c r="I54" s="59"/>
      <c r="J54" s="58"/>
      <c r="K54" s="59"/>
      <c r="L54" s="33"/>
      <c r="M54" s="34" t="str">
        <f t="shared" si="0"/>
        <v/>
      </c>
      <c r="N54" s="35" t="str">
        <f t="shared" si="2"/>
        <v/>
      </c>
      <c r="O54" s="36" t="str">
        <f t="shared" si="2"/>
        <v/>
      </c>
    </row>
    <row r="55" spans="1:15" s="24" customFormat="1" ht="30" customHeight="1" x14ac:dyDescent="0.45">
      <c r="A55" s="32">
        <v>43</v>
      </c>
      <c r="B55" s="53" t="s">
        <v>102</v>
      </c>
      <c r="C55" s="54"/>
      <c r="D55" s="54"/>
      <c r="E55" s="55"/>
      <c r="F55" s="56" t="s">
        <v>103</v>
      </c>
      <c r="G55" s="57"/>
      <c r="H55" s="58"/>
      <c r="I55" s="59"/>
      <c r="J55" s="60" t="s">
        <v>195</v>
      </c>
      <c r="K55" s="59"/>
      <c r="L55" s="33">
        <v>1.5085999999999999</v>
      </c>
      <c r="M55" s="34">
        <f t="shared" si="0"/>
        <v>5.5818200000000007E-5</v>
      </c>
      <c r="N55" s="35" t="str">
        <f t="shared" si="2"/>
        <v>O</v>
      </c>
      <c r="O55" s="36" t="str">
        <f t="shared" si="2"/>
        <v>X</v>
      </c>
    </row>
    <row r="56" spans="1:15" s="24" customFormat="1" ht="23.25" customHeight="1" x14ac:dyDescent="0.45">
      <c r="A56" s="32">
        <v>44</v>
      </c>
      <c r="B56" s="53" t="s">
        <v>104</v>
      </c>
      <c r="C56" s="54"/>
      <c r="D56" s="54"/>
      <c r="E56" s="55"/>
      <c r="F56" s="56" t="s">
        <v>105</v>
      </c>
      <c r="G56" s="57"/>
      <c r="H56" s="58"/>
      <c r="I56" s="59"/>
      <c r="J56" s="58" t="s">
        <v>196</v>
      </c>
      <c r="K56" s="59"/>
      <c r="L56" s="33">
        <v>0.12859999999999999</v>
      </c>
      <c r="M56" s="34">
        <f t="shared" si="0"/>
        <v>4.7582000000000005E-6</v>
      </c>
      <c r="N56" s="35" t="str">
        <f t="shared" si="2"/>
        <v>X</v>
      </c>
      <c r="O56" s="36" t="str">
        <f t="shared" si="2"/>
        <v>X</v>
      </c>
    </row>
    <row r="57" spans="1:15" s="24" customFormat="1" ht="23.25" customHeight="1" x14ac:dyDescent="0.45">
      <c r="A57" s="32">
        <v>45</v>
      </c>
      <c r="B57" s="53" t="s">
        <v>106</v>
      </c>
      <c r="C57" s="54"/>
      <c r="D57" s="54"/>
      <c r="E57" s="55"/>
      <c r="F57" s="56" t="s">
        <v>107</v>
      </c>
      <c r="G57" s="57"/>
      <c r="H57" s="58"/>
      <c r="I57" s="59"/>
      <c r="J57" s="58"/>
      <c r="K57" s="59"/>
      <c r="L57" s="33"/>
      <c r="M57" s="34" t="str">
        <f t="shared" si="0"/>
        <v/>
      </c>
      <c r="N57" s="35" t="str">
        <f t="shared" si="2"/>
        <v/>
      </c>
      <c r="O57" s="36" t="str">
        <f t="shared" si="2"/>
        <v/>
      </c>
    </row>
    <row r="58" spans="1:15" s="24" customFormat="1" ht="23.25" customHeight="1" x14ac:dyDescent="0.45">
      <c r="A58" s="32">
        <v>46</v>
      </c>
      <c r="B58" s="53" t="s">
        <v>108</v>
      </c>
      <c r="C58" s="54"/>
      <c r="D58" s="54"/>
      <c r="E58" s="55"/>
      <c r="F58" s="56" t="s">
        <v>109</v>
      </c>
      <c r="G58" s="57"/>
      <c r="H58" s="58"/>
      <c r="I58" s="59"/>
      <c r="J58" s="58"/>
      <c r="K58" s="59"/>
      <c r="L58" s="33"/>
      <c r="M58" s="34" t="str">
        <f t="shared" si="0"/>
        <v/>
      </c>
      <c r="N58" s="35" t="str">
        <f t="shared" si="2"/>
        <v/>
      </c>
      <c r="O58" s="36" t="str">
        <f t="shared" si="2"/>
        <v/>
      </c>
    </row>
    <row r="59" spans="1:15" s="24" customFormat="1" ht="23.25" customHeight="1" x14ac:dyDescent="0.45">
      <c r="A59" s="32">
        <v>47</v>
      </c>
      <c r="B59" s="53" t="s">
        <v>110</v>
      </c>
      <c r="C59" s="54"/>
      <c r="D59" s="54"/>
      <c r="E59" s="55"/>
      <c r="F59" s="56" t="s">
        <v>111</v>
      </c>
      <c r="G59" s="57"/>
      <c r="H59" s="58"/>
      <c r="I59" s="59"/>
      <c r="J59" s="58"/>
      <c r="K59" s="59"/>
      <c r="L59" s="33"/>
      <c r="M59" s="34" t="str">
        <f t="shared" si="0"/>
        <v/>
      </c>
      <c r="N59" s="35" t="str">
        <f t="shared" si="2"/>
        <v/>
      </c>
      <c r="O59" s="36" t="str">
        <f t="shared" si="2"/>
        <v/>
      </c>
    </row>
    <row r="60" spans="1:15" s="24" customFormat="1" ht="23.25" customHeight="1" x14ac:dyDescent="0.45">
      <c r="A60" s="32">
        <v>48</v>
      </c>
      <c r="B60" s="53" t="s">
        <v>112</v>
      </c>
      <c r="C60" s="54"/>
      <c r="D60" s="54"/>
      <c r="E60" s="55"/>
      <c r="F60" s="56" t="s">
        <v>113</v>
      </c>
      <c r="G60" s="57"/>
      <c r="H60" s="58"/>
      <c r="I60" s="59"/>
      <c r="J60" s="58"/>
      <c r="K60" s="59"/>
      <c r="L60" s="33"/>
      <c r="M60" s="34" t="str">
        <f t="shared" si="0"/>
        <v/>
      </c>
      <c r="N60" s="35" t="str">
        <f t="shared" si="2"/>
        <v/>
      </c>
      <c r="O60" s="36" t="str">
        <f t="shared" si="2"/>
        <v/>
      </c>
    </row>
    <row r="61" spans="1:15" s="24" customFormat="1" ht="44.25" customHeight="1" x14ac:dyDescent="0.45">
      <c r="A61" s="32">
        <v>49</v>
      </c>
      <c r="B61" s="53" t="s">
        <v>114</v>
      </c>
      <c r="C61" s="54"/>
      <c r="D61" s="54"/>
      <c r="E61" s="55"/>
      <c r="F61" s="56" t="s">
        <v>115</v>
      </c>
      <c r="G61" s="57"/>
      <c r="H61" s="58"/>
      <c r="I61" s="59"/>
      <c r="J61" s="58"/>
      <c r="K61" s="59"/>
      <c r="L61" s="33"/>
      <c r="M61" s="34" t="str">
        <f t="shared" si="0"/>
        <v/>
      </c>
      <c r="N61" s="35" t="str">
        <f t="shared" si="2"/>
        <v/>
      </c>
      <c r="O61" s="36" t="str">
        <f t="shared" si="2"/>
        <v/>
      </c>
    </row>
    <row r="62" spans="1:15" s="24" customFormat="1" ht="23.25" customHeight="1" x14ac:dyDescent="0.45">
      <c r="A62" s="32">
        <v>50</v>
      </c>
      <c r="B62" s="53" t="s">
        <v>116</v>
      </c>
      <c r="C62" s="54"/>
      <c r="D62" s="54"/>
      <c r="E62" s="55"/>
      <c r="F62" s="56" t="s">
        <v>117</v>
      </c>
      <c r="G62" s="57"/>
      <c r="H62" s="58"/>
      <c r="I62" s="59"/>
      <c r="J62" s="58"/>
      <c r="K62" s="59"/>
      <c r="L62" s="33"/>
      <c r="M62" s="34" t="str">
        <f t="shared" si="0"/>
        <v/>
      </c>
      <c r="N62" s="35" t="str">
        <f t="shared" si="2"/>
        <v/>
      </c>
      <c r="O62" s="36" t="str">
        <f t="shared" si="2"/>
        <v/>
      </c>
    </row>
    <row r="63" spans="1:15" s="24" customFormat="1" ht="54.75" customHeight="1" x14ac:dyDescent="0.45">
      <c r="A63" s="32">
        <v>51</v>
      </c>
      <c r="B63" s="53" t="s">
        <v>118</v>
      </c>
      <c r="C63" s="54"/>
      <c r="D63" s="54"/>
      <c r="E63" s="55"/>
      <c r="F63" s="56" t="s">
        <v>119</v>
      </c>
      <c r="G63" s="57"/>
      <c r="H63" s="58"/>
      <c r="I63" s="59"/>
      <c r="J63" s="58"/>
      <c r="K63" s="59"/>
      <c r="L63" s="33"/>
      <c r="M63" s="34" t="str">
        <f t="shared" si="0"/>
        <v/>
      </c>
      <c r="N63" s="35" t="str">
        <f t="shared" si="2"/>
        <v/>
      </c>
      <c r="O63" s="36" t="str">
        <f t="shared" si="2"/>
        <v/>
      </c>
    </row>
    <row r="64" spans="1:15" s="24" customFormat="1" ht="33.75" customHeight="1" x14ac:dyDescent="0.45">
      <c r="A64" s="32">
        <v>52</v>
      </c>
      <c r="B64" s="53" t="s">
        <v>120</v>
      </c>
      <c r="C64" s="54"/>
      <c r="D64" s="54"/>
      <c r="E64" s="55"/>
      <c r="F64" s="56" t="s">
        <v>121</v>
      </c>
      <c r="G64" s="57"/>
      <c r="H64" s="58"/>
      <c r="I64" s="59"/>
      <c r="J64" s="58"/>
      <c r="K64" s="59"/>
      <c r="L64" s="33"/>
      <c r="M64" s="34" t="str">
        <f t="shared" si="0"/>
        <v/>
      </c>
      <c r="N64" s="35" t="str">
        <f t="shared" si="2"/>
        <v/>
      </c>
      <c r="O64" s="36" t="str">
        <f t="shared" si="2"/>
        <v/>
      </c>
    </row>
    <row r="65" spans="1:15" s="24" customFormat="1" ht="44.25" customHeight="1" x14ac:dyDescent="0.45">
      <c r="A65" s="32">
        <v>53</v>
      </c>
      <c r="B65" s="53" t="s">
        <v>122</v>
      </c>
      <c r="C65" s="54"/>
      <c r="D65" s="54"/>
      <c r="E65" s="55"/>
      <c r="F65" s="56" t="s">
        <v>123</v>
      </c>
      <c r="G65" s="57"/>
      <c r="H65" s="58"/>
      <c r="I65" s="59"/>
      <c r="J65" s="58"/>
      <c r="K65" s="59"/>
      <c r="L65" s="33"/>
      <c r="M65" s="34" t="str">
        <f t="shared" si="0"/>
        <v/>
      </c>
      <c r="N65" s="35" t="str">
        <f t="shared" si="2"/>
        <v/>
      </c>
      <c r="O65" s="36" t="str">
        <f t="shared" si="2"/>
        <v/>
      </c>
    </row>
    <row r="66" spans="1:15" s="24" customFormat="1" ht="96.75" customHeight="1" x14ac:dyDescent="0.45">
      <c r="A66" s="32">
        <v>54</v>
      </c>
      <c r="B66" s="53" t="s">
        <v>124</v>
      </c>
      <c r="C66" s="54"/>
      <c r="D66" s="54"/>
      <c r="E66" s="55"/>
      <c r="F66" s="56" t="s">
        <v>125</v>
      </c>
      <c r="G66" s="57"/>
      <c r="H66" s="58">
        <v>6.4286000000000003</v>
      </c>
      <c r="I66" s="59"/>
      <c r="J66" s="58"/>
      <c r="K66" s="59"/>
      <c r="L66" s="33">
        <v>6.4286000000000003</v>
      </c>
      <c r="M66" s="34">
        <f t="shared" si="0"/>
        <v>2.3785820000000004E-4</v>
      </c>
      <c r="N66" s="35" t="str">
        <f t="shared" si="2"/>
        <v>O</v>
      </c>
      <c r="O66" s="36" t="str">
        <f t="shared" si="2"/>
        <v>O</v>
      </c>
    </row>
    <row r="67" spans="1:15" s="24" customFormat="1" ht="54.75" customHeight="1" x14ac:dyDescent="0.45">
      <c r="A67" s="32">
        <v>55</v>
      </c>
      <c r="B67" s="53" t="s">
        <v>126</v>
      </c>
      <c r="C67" s="54"/>
      <c r="D67" s="54"/>
      <c r="E67" s="55"/>
      <c r="F67" s="56" t="s">
        <v>127</v>
      </c>
      <c r="G67" s="57"/>
      <c r="H67" s="58"/>
      <c r="I67" s="59"/>
      <c r="J67" s="60" t="s">
        <v>197</v>
      </c>
      <c r="K67" s="59"/>
      <c r="L67" s="33">
        <v>0.15429999999999999</v>
      </c>
      <c r="M67" s="34">
        <f t="shared" si="0"/>
        <v>5.7091000000000001E-6</v>
      </c>
      <c r="N67" s="35" t="str">
        <f t="shared" si="2"/>
        <v>X</v>
      </c>
      <c r="O67" s="36" t="str">
        <f t="shared" si="2"/>
        <v>X</v>
      </c>
    </row>
    <row r="68" spans="1:15" s="24" customFormat="1" ht="30" customHeight="1" x14ac:dyDescent="0.45">
      <c r="A68" s="32">
        <v>56</v>
      </c>
      <c r="B68" s="53" t="s">
        <v>128</v>
      </c>
      <c r="C68" s="54"/>
      <c r="D68" s="54"/>
      <c r="E68" s="55"/>
      <c r="F68" s="56" t="s">
        <v>129</v>
      </c>
      <c r="G68" s="57"/>
      <c r="H68" s="58"/>
      <c r="I68" s="59"/>
      <c r="J68" s="60" t="s">
        <v>198</v>
      </c>
      <c r="K68" s="59"/>
      <c r="L68" s="33">
        <v>3.516</v>
      </c>
      <c r="M68" s="34">
        <f t="shared" si="0"/>
        <v>1.30092E-4</v>
      </c>
      <c r="N68" s="35" t="str">
        <f t="shared" si="2"/>
        <v>O</v>
      </c>
      <c r="O68" s="36" t="str">
        <f t="shared" si="2"/>
        <v>O</v>
      </c>
    </row>
    <row r="69" spans="1:15" s="24" customFormat="1" ht="23.25" customHeight="1" x14ac:dyDescent="0.45">
      <c r="A69" s="32">
        <v>57</v>
      </c>
      <c r="B69" s="53" t="s">
        <v>130</v>
      </c>
      <c r="C69" s="54"/>
      <c r="D69" s="54"/>
      <c r="E69" s="55"/>
      <c r="F69" s="56" t="s">
        <v>131</v>
      </c>
      <c r="G69" s="57"/>
      <c r="H69" s="58"/>
      <c r="I69" s="59"/>
      <c r="J69" s="58" t="s">
        <v>199</v>
      </c>
      <c r="K69" s="59"/>
      <c r="L69" s="33">
        <v>2.3786</v>
      </c>
      <c r="M69" s="34">
        <f t="shared" si="0"/>
        <v>8.8008200000000016E-5</v>
      </c>
      <c r="N69" s="35" t="str">
        <f t="shared" si="2"/>
        <v>O</v>
      </c>
      <c r="O69" s="36" t="str">
        <f t="shared" si="2"/>
        <v>X</v>
      </c>
    </row>
    <row r="70" spans="1:15" s="24" customFormat="1" ht="33.75" customHeight="1" x14ac:dyDescent="0.45">
      <c r="A70" s="32">
        <v>58</v>
      </c>
      <c r="B70" s="53" t="s">
        <v>132</v>
      </c>
      <c r="C70" s="54"/>
      <c r="D70" s="54"/>
      <c r="E70" s="55"/>
      <c r="F70" s="56" t="s">
        <v>133</v>
      </c>
      <c r="G70" s="57"/>
      <c r="H70" s="58"/>
      <c r="I70" s="59"/>
      <c r="J70" s="58"/>
      <c r="K70" s="59"/>
      <c r="L70" s="33"/>
      <c r="M70" s="34" t="str">
        <f t="shared" si="0"/>
        <v/>
      </c>
      <c r="N70" s="35" t="str">
        <f t="shared" si="2"/>
        <v/>
      </c>
      <c r="O70" s="36" t="str">
        <f t="shared" si="2"/>
        <v/>
      </c>
    </row>
    <row r="71" spans="1:15" s="24" customFormat="1" ht="23.25" customHeight="1" x14ac:dyDescent="0.45">
      <c r="A71" s="32">
        <v>59</v>
      </c>
      <c r="B71" s="53" t="s">
        <v>134</v>
      </c>
      <c r="C71" s="54"/>
      <c r="D71" s="54"/>
      <c r="E71" s="55"/>
      <c r="F71" s="56" t="s">
        <v>135</v>
      </c>
      <c r="G71" s="57"/>
      <c r="H71" s="58"/>
      <c r="I71" s="59"/>
      <c r="J71" s="58"/>
      <c r="K71" s="59"/>
      <c r="L71" s="33"/>
      <c r="M71" s="34" t="str">
        <f t="shared" si="0"/>
        <v/>
      </c>
      <c r="N71" s="35" t="str">
        <f t="shared" si="2"/>
        <v/>
      </c>
      <c r="O71" s="36" t="str">
        <f t="shared" si="2"/>
        <v/>
      </c>
    </row>
    <row r="72" spans="1:15" s="24" customFormat="1" ht="33.75" customHeight="1" x14ac:dyDescent="0.45">
      <c r="A72" s="32">
        <v>60</v>
      </c>
      <c r="B72" s="53" t="s">
        <v>136</v>
      </c>
      <c r="C72" s="54"/>
      <c r="D72" s="54"/>
      <c r="E72" s="55"/>
      <c r="F72" s="56" t="s">
        <v>137</v>
      </c>
      <c r="G72" s="57"/>
      <c r="H72" s="58"/>
      <c r="I72" s="59"/>
      <c r="J72" s="58"/>
      <c r="K72" s="59"/>
      <c r="L72" s="33"/>
      <c r="M72" s="34" t="str">
        <f t="shared" si="0"/>
        <v/>
      </c>
      <c r="N72" s="35" t="str">
        <f t="shared" si="2"/>
        <v/>
      </c>
      <c r="O72" s="36" t="str">
        <f t="shared" si="2"/>
        <v/>
      </c>
    </row>
    <row r="73" spans="1:15" s="24" customFormat="1" ht="33.75" customHeight="1" x14ac:dyDescent="0.45">
      <c r="A73" s="32">
        <v>61</v>
      </c>
      <c r="B73" s="53" t="s">
        <v>138</v>
      </c>
      <c r="C73" s="54"/>
      <c r="D73" s="54"/>
      <c r="E73" s="55"/>
      <c r="F73" s="56" t="s">
        <v>139</v>
      </c>
      <c r="G73" s="57"/>
      <c r="H73" s="58"/>
      <c r="I73" s="59"/>
      <c r="J73" s="58"/>
      <c r="K73" s="59"/>
      <c r="L73" s="33"/>
      <c r="M73" s="34" t="str">
        <f t="shared" si="0"/>
        <v/>
      </c>
      <c r="N73" s="35" t="str">
        <f t="shared" si="2"/>
        <v/>
      </c>
      <c r="O73" s="36" t="str">
        <f t="shared" si="2"/>
        <v/>
      </c>
    </row>
    <row r="74" spans="1:15" s="24" customFormat="1" ht="54.75" customHeight="1" x14ac:dyDescent="0.45">
      <c r="A74" s="32">
        <v>62</v>
      </c>
      <c r="B74" s="53" t="s">
        <v>140</v>
      </c>
      <c r="C74" s="54"/>
      <c r="D74" s="54"/>
      <c r="E74" s="55"/>
      <c r="F74" s="56" t="s">
        <v>141</v>
      </c>
      <c r="G74" s="57"/>
      <c r="H74" s="58"/>
      <c r="I74" s="59"/>
      <c r="J74" s="58"/>
      <c r="K74" s="59"/>
      <c r="L74" s="33"/>
      <c r="M74" s="34" t="str">
        <f t="shared" si="0"/>
        <v/>
      </c>
      <c r="N74" s="35" t="str">
        <f t="shared" si="2"/>
        <v/>
      </c>
      <c r="O74" s="36" t="str">
        <f t="shared" si="2"/>
        <v/>
      </c>
    </row>
    <row r="75" spans="1:15" s="24" customFormat="1" ht="23.25" customHeight="1" x14ac:dyDescent="0.45">
      <c r="A75" s="32">
        <v>63</v>
      </c>
      <c r="B75" s="53" t="s">
        <v>142</v>
      </c>
      <c r="C75" s="54"/>
      <c r="D75" s="54"/>
      <c r="E75" s="55"/>
      <c r="F75" s="56" t="s">
        <v>143</v>
      </c>
      <c r="G75" s="57"/>
      <c r="H75" s="58"/>
      <c r="I75" s="59"/>
      <c r="J75" s="58"/>
      <c r="K75" s="59"/>
      <c r="L75" s="33"/>
      <c r="M75" s="34" t="str">
        <f t="shared" si="0"/>
        <v/>
      </c>
      <c r="N75" s="35" t="str">
        <f t="shared" si="2"/>
        <v/>
      </c>
      <c r="O75" s="36" t="str">
        <f t="shared" si="2"/>
        <v/>
      </c>
    </row>
    <row r="76" spans="1:15" s="24" customFormat="1" ht="23.25" customHeight="1" x14ac:dyDescent="0.45">
      <c r="A76" s="32">
        <v>64</v>
      </c>
      <c r="B76" s="53" t="s">
        <v>144</v>
      </c>
      <c r="C76" s="54"/>
      <c r="D76" s="54"/>
      <c r="E76" s="55"/>
      <c r="F76" s="56" t="s">
        <v>145</v>
      </c>
      <c r="G76" s="57"/>
      <c r="H76" s="58"/>
      <c r="I76" s="59"/>
      <c r="J76" s="58"/>
      <c r="K76" s="59"/>
      <c r="L76" s="33"/>
      <c r="M76" s="34" t="str">
        <f t="shared" si="0"/>
        <v/>
      </c>
      <c r="N76" s="35" t="str">
        <f t="shared" si="2"/>
        <v/>
      </c>
      <c r="O76" s="36" t="str">
        <f t="shared" si="2"/>
        <v/>
      </c>
    </row>
    <row r="77" spans="1:15" s="24" customFormat="1" ht="23.25" customHeight="1" x14ac:dyDescent="0.45">
      <c r="A77" s="32">
        <v>65</v>
      </c>
      <c r="B77" s="53" t="s">
        <v>146</v>
      </c>
      <c r="C77" s="54"/>
      <c r="D77" s="54"/>
      <c r="E77" s="55"/>
      <c r="F77" s="56" t="s">
        <v>147</v>
      </c>
      <c r="G77" s="57"/>
      <c r="H77" s="58"/>
      <c r="I77" s="59"/>
      <c r="J77" s="58"/>
      <c r="K77" s="59"/>
      <c r="L77" s="33"/>
      <c r="M77" s="34" t="str">
        <f t="shared" si="0"/>
        <v/>
      </c>
      <c r="N77" s="35" t="str">
        <f t="shared" si="2"/>
        <v/>
      </c>
      <c r="O77" s="36" t="str">
        <f t="shared" si="2"/>
        <v/>
      </c>
    </row>
    <row r="78" spans="1:15" s="24" customFormat="1" ht="54.75" customHeight="1" x14ac:dyDescent="0.45">
      <c r="A78" s="32">
        <v>66</v>
      </c>
      <c r="B78" s="53" t="s">
        <v>148</v>
      </c>
      <c r="C78" s="54"/>
      <c r="D78" s="54"/>
      <c r="E78" s="55"/>
      <c r="F78" s="56" t="s">
        <v>149</v>
      </c>
      <c r="G78" s="57"/>
      <c r="H78" s="58"/>
      <c r="I78" s="59"/>
      <c r="J78" s="58"/>
      <c r="K78" s="59"/>
      <c r="L78" s="33"/>
      <c r="M78" s="34" t="str">
        <f t="shared" ref="M78:M95" si="3">IF($K$9&lt;&gt;"",IF(L78&gt;0,$K$9*L78*0.01,""),"")</f>
        <v/>
      </c>
      <c r="N78" s="35" t="str">
        <f t="shared" si="2"/>
        <v/>
      </c>
      <c r="O78" s="36" t="str">
        <f t="shared" si="2"/>
        <v/>
      </c>
    </row>
    <row r="79" spans="1:15" s="24" customFormat="1" ht="33.75" customHeight="1" x14ac:dyDescent="0.45">
      <c r="A79" s="32">
        <v>67</v>
      </c>
      <c r="B79" s="53" t="s">
        <v>150</v>
      </c>
      <c r="C79" s="54"/>
      <c r="D79" s="54"/>
      <c r="E79" s="55"/>
      <c r="F79" s="56" t="s">
        <v>151</v>
      </c>
      <c r="G79" s="57"/>
      <c r="H79" s="58">
        <v>8.5714000000000006</v>
      </c>
      <c r="I79" s="59"/>
      <c r="J79" s="58"/>
      <c r="K79" s="59"/>
      <c r="L79" s="33">
        <v>8.5714000000000006</v>
      </c>
      <c r="M79" s="34">
        <f t="shared" si="3"/>
        <v>3.1714180000000001E-4</v>
      </c>
      <c r="N79" s="35" t="str">
        <f t="shared" si="2"/>
        <v>O</v>
      </c>
      <c r="O79" s="36" t="str">
        <f t="shared" si="2"/>
        <v>O</v>
      </c>
    </row>
    <row r="80" spans="1:15" s="24" customFormat="1" ht="54.75" customHeight="1" x14ac:dyDescent="0.45">
      <c r="A80" s="32">
        <v>68</v>
      </c>
      <c r="B80" s="53" t="s">
        <v>152</v>
      </c>
      <c r="C80" s="54"/>
      <c r="D80" s="54"/>
      <c r="E80" s="55"/>
      <c r="F80" s="56" t="s">
        <v>153</v>
      </c>
      <c r="G80" s="57"/>
      <c r="H80" s="58"/>
      <c r="I80" s="59"/>
      <c r="J80" s="60" t="s">
        <v>200</v>
      </c>
      <c r="K80" s="59"/>
      <c r="L80" s="33">
        <v>0.13400000000000001</v>
      </c>
      <c r="M80" s="34">
        <f t="shared" si="3"/>
        <v>4.9580000000000006E-6</v>
      </c>
      <c r="N80" s="35" t="str">
        <f t="shared" si="2"/>
        <v>X</v>
      </c>
      <c r="O80" s="36" t="str">
        <f t="shared" si="2"/>
        <v>X</v>
      </c>
    </row>
    <row r="81" spans="1:15" s="24" customFormat="1" ht="23.25" customHeight="1" x14ac:dyDescent="0.45">
      <c r="A81" s="32">
        <v>69</v>
      </c>
      <c r="B81" s="53" t="s">
        <v>154</v>
      </c>
      <c r="C81" s="54"/>
      <c r="D81" s="54"/>
      <c r="E81" s="55"/>
      <c r="F81" s="56" t="s">
        <v>155</v>
      </c>
      <c r="G81" s="57"/>
      <c r="H81" s="58"/>
      <c r="I81" s="59"/>
      <c r="J81" s="58"/>
      <c r="K81" s="59"/>
      <c r="L81" s="33"/>
      <c r="M81" s="34" t="str">
        <f t="shared" si="3"/>
        <v/>
      </c>
      <c r="N81" s="35" t="str">
        <f t="shared" si="2"/>
        <v/>
      </c>
      <c r="O81" s="36" t="str">
        <f t="shared" si="2"/>
        <v/>
      </c>
    </row>
    <row r="82" spans="1:15" s="24" customFormat="1" ht="23.25" customHeight="1" x14ac:dyDescent="0.45">
      <c r="A82" s="32">
        <v>70</v>
      </c>
      <c r="B82" s="53" t="s">
        <v>156</v>
      </c>
      <c r="C82" s="54"/>
      <c r="D82" s="54"/>
      <c r="E82" s="55"/>
      <c r="F82" s="56" t="s">
        <v>157</v>
      </c>
      <c r="G82" s="57"/>
      <c r="H82" s="58"/>
      <c r="I82" s="59"/>
      <c r="J82" s="58"/>
      <c r="K82" s="59"/>
      <c r="L82" s="33"/>
      <c r="M82" s="34" t="str">
        <f t="shared" si="3"/>
        <v/>
      </c>
      <c r="N82" s="35" t="str">
        <f t="shared" si="2"/>
        <v/>
      </c>
      <c r="O82" s="36" t="str">
        <f t="shared" si="2"/>
        <v/>
      </c>
    </row>
    <row r="83" spans="1:15" s="24" customFormat="1" ht="33.75" customHeight="1" x14ac:dyDescent="0.45">
      <c r="A83" s="32">
        <v>71</v>
      </c>
      <c r="B83" s="53" t="s">
        <v>158</v>
      </c>
      <c r="C83" s="54"/>
      <c r="D83" s="54"/>
      <c r="E83" s="55"/>
      <c r="F83" s="56" t="s">
        <v>159</v>
      </c>
      <c r="G83" s="57"/>
      <c r="H83" s="58">
        <v>42.857199999999999</v>
      </c>
      <c r="I83" s="59"/>
      <c r="J83" s="58"/>
      <c r="K83" s="59"/>
      <c r="L83" s="33">
        <v>42.857199999999999</v>
      </c>
      <c r="M83" s="34">
        <f t="shared" si="3"/>
        <v>1.5857164000000002E-3</v>
      </c>
      <c r="N83" s="35" t="str">
        <f t="shared" si="2"/>
        <v>O</v>
      </c>
      <c r="O83" s="36" t="str">
        <f t="shared" si="2"/>
        <v>O</v>
      </c>
    </row>
    <row r="84" spans="1:15" s="24" customFormat="1" ht="86.25" customHeight="1" x14ac:dyDescent="0.45">
      <c r="A84" s="32">
        <v>72</v>
      </c>
      <c r="B84" s="53" t="s">
        <v>160</v>
      </c>
      <c r="C84" s="54"/>
      <c r="D84" s="54"/>
      <c r="E84" s="55"/>
      <c r="F84" s="56" t="s">
        <v>161</v>
      </c>
      <c r="G84" s="57"/>
      <c r="H84" s="58"/>
      <c r="I84" s="59"/>
      <c r="J84" s="58"/>
      <c r="K84" s="59"/>
      <c r="L84" s="33"/>
      <c r="M84" s="34" t="str">
        <f t="shared" si="3"/>
        <v/>
      </c>
      <c r="N84" s="35" t="str">
        <f t="shared" si="2"/>
        <v/>
      </c>
      <c r="O84" s="36" t="str">
        <f t="shared" si="2"/>
        <v/>
      </c>
    </row>
    <row r="85" spans="1:15" s="24" customFormat="1" ht="96.75" customHeight="1" x14ac:dyDescent="0.45">
      <c r="A85" s="32">
        <v>73</v>
      </c>
      <c r="B85" s="53" t="s">
        <v>162</v>
      </c>
      <c r="C85" s="54"/>
      <c r="D85" s="54"/>
      <c r="E85" s="55"/>
      <c r="F85" s="56" t="s">
        <v>163</v>
      </c>
      <c r="G85" s="57"/>
      <c r="H85" s="58"/>
      <c r="I85" s="59"/>
      <c r="J85" s="58"/>
      <c r="K85" s="59"/>
      <c r="L85" s="33"/>
      <c r="M85" s="34" t="str">
        <f t="shared" si="3"/>
        <v/>
      </c>
      <c r="N85" s="35" t="str">
        <f t="shared" si="2"/>
        <v/>
      </c>
      <c r="O85" s="36" t="str">
        <f t="shared" si="2"/>
        <v/>
      </c>
    </row>
    <row r="86" spans="1:15" s="24" customFormat="1" ht="23.25" customHeight="1" x14ac:dyDescent="0.45">
      <c r="A86" s="32">
        <v>74</v>
      </c>
      <c r="B86" s="53" t="s">
        <v>164</v>
      </c>
      <c r="C86" s="54"/>
      <c r="D86" s="54"/>
      <c r="E86" s="55"/>
      <c r="F86" s="56" t="s">
        <v>165</v>
      </c>
      <c r="G86" s="57"/>
      <c r="H86" s="58"/>
      <c r="I86" s="59"/>
      <c r="J86" s="58"/>
      <c r="K86" s="59"/>
      <c r="L86" s="33"/>
      <c r="M86" s="34" t="str">
        <f t="shared" si="3"/>
        <v/>
      </c>
      <c r="N86" s="35" t="str">
        <f t="shared" si="2"/>
        <v/>
      </c>
      <c r="O86" s="36" t="str">
        <f t="shared" si="2"/>
        <v/>
      </c>
    </row>
    <row r="87" spans="1:15" s="24" customFormat="1" ht="44.25" customHeight="1" x14ac:dyDescent="0.45">
      <c r="A87" s="32">
        <v>75</v>
      </c>
      <c r="B87" s="53" t="s">
        <v>166</v>
      </c>
      <c r="C87" s="54"/>
      <c r="D87" s="54"/>
      <c r="E87" s="55"/>
      <c r="F87" s="56" t="s">
        <v>167</v>
      </c>
      <c r="G87" s="57"/>
      <c r="H87" s="58"/>
      <c r="I87" s="59"/>
      <c r="J87" s="58"/>
      <c r="K87" s="59"/>
      <c r="L87" s="33"/>
      <c r="M87" s="34" t="str">
        <f t="shared" si="3"/>
        <v/>
      </c>
      <c r="N87" s="35" t="str">
        <f t="shared" si="2"/>
        <v/>
      </c>
      <c r="O87" s="36" t="str">
        <f t="shared" si="2"/>
        <v/>
      </c>
    </row>
    <row r="88" spans="1:15" s="24" customFormat="1" ht="33.75" customHeight="1" x14ac:dyDescent="0.45">
      <c r="A88" s="32">
        <v>76</v>
      </c>
      <c r="B88" s="53" t="s">
        <v>168</v>
      </c>
      <c r="C88" s="54"/>
      <c r="D88" s="54"/>
      <c r="E88" s="55"/>
      <c r="F88" s="56" t="s">
        <v>169</v>
      </c>
      <c r="G88" s="57"/>
      <c r="H88" s="58"/>
      <c r="I88" s="59"/>
      <c r="J88" s="58"/>
      <c r="K88" s="59"/>
      <c r="L88" s="33"/>
      <c r="M88" s="34" t="str">
        <f t="shared" si="3"/>
        <v/>
      </c>
      <c r="N88" s="35" t="str">
        <f t="shared" si="2"/>
        <v/>
      </c>
      <c r="O88" s="36" t="str">
        <f t="shared" si="2"/>
        <v/>
      </c>
    </row>
    <row r="89" spans="1:15" s="24" customFormat="1" ht="23.25" customHeight="1" x14ac:dyDescent="0.45">
      <c r="A89" s="32">
        <v>77</v>
      </c>
      <c r="B89" s="53" t="s">
        <v>170</v>
      </c>
      <c r="C89" s="54"/>
      <c r="D89" s="54"/>
      <c r="E89" s="55"/>
      <c r="F89" s="56" t="s">
        <v>171</v>
      </c>
      <c r="G89" s="57"/>
      <c r="H89" s="58"/>
      <c r="I89" s="59"/>
      <c r="J89" s="58"/>
      <c r="K89" s="59"/>
      <c r="L89" s="33"/>
      <c r="M89" s="34" t="str">
        <f t="shared" si="3"/>
        <v/>
      </c>
      <c r="N89" s="35" t="str">
        <f t="shared" si="2"/>
        <v/>
      </c>
      <c r="O89" s="36" t="str">
        <f t="shared" si="2"/>
        <v/>
      </c>
    </row>
    <row r="90" spans="1:15" s="24" customFormat="1" ht="54.75" customHeight="1" x14ac:dyDescent="0.45">
      <c r="A90" s="32">
        <v>78</v>
      </c>
      <c r="B90" s="53" t="s">
        <v>172</v>
      </c>
      <c r="C90" s="54"/>
      <c r="D90" s="54"/>
      <c r="E90" s="55"/>
      <c r="F90" s="56" t="s">
        <v>173</v>
      </c>
      <c r="G90" s="57"/>
      <c r="H90" s="58"/>
      <c r="I90" s="59"/>
      <c r="J90" s="58" t="s">
        <v>201</v>
      </c>
      <c r="K90" s="59"/>
      <c r="L90" s="33">
        <v>0.13370000000000001</v>
      </c>
      <c r="M90" s="34">
        <f t="shared" si="3"/>
        <v>4.9469000000000009E-6</v>
      </c>
      <c r="N90" s="35" t="str">
        <f t="shared" si="2"/>
        <v>X</v>
      </c>
      <c r="O90" s="36" t="str">
        <f t="shared" si="2"/>
        <v>X</v>
      </c>
    </row>
    <row r="91" spans="1:15" s="24" customFormat="1" ht="23.25" customHeight="1" x14ac:dyDescent="0.45">
      <c r="A91" s="32">
        <v>79</v>
      </c>
      <c r="B91" s="53" t="s">
        <v>174</v>
      </c>
      <c r="C91" s="54"/>
      <c r="D91" s="54"/>
      <c r="E91" s="55"/>
      <c r="F91" s="56" t="s">
        <v>175</v>
      </c>
      <c r="G91" s="57"/>
      <c r="H91" s="58"/>
      <c r="I91" s="59"/>
      <c r="J91" s="58" t="s">
        <v>202</v>
      </c>
      <c r="K91" s="59"/>
      <c r="L91" s="33">
        <v>3.2099999999999997E-2</v>
      </c>
      <c r="M91" s="34">
        <f t="shared" si="3"/>
        <v>1.1876999999999999E-6</v>
      </c>
      <c r="N91" s="35" t="str">
        <f t="shared" si="2"/>
        <v>X</v>
      </c>
      <c r="O91" s="36" t="str">
        <f t="shared" si="2"/>
        <v>X</v>
      </c>
    </row>
    <row r="92" spans="1:15" s="24" customFormat="1" ht="54.75" customHeight="1" x14ac:dyDescent="0.45">
      <c r="A92" s="32">
        <v>80</v>
      </c>
      <c r="B92" s="53" t="s">
        <v>176</v>
      </c>
      <c r="C92" s="54"/>
      <c r="D92" s="54"/>
      <c r="E92" s="55"/>
      <c r="F92" s="56" t="s">
        <v>177</v>
      </c>
      <c r="G92" s="57"/>
      <c r="H92" s="58"/>
      <c r="I92" s="59"/>
      <c r="J92" s="58"/>
      <c r="K92" s="59"/>
      <c r="L92" s="33"/>
      <c r="M92" s="34" t="str">
        <f t="shared" si="3"/>
        <v/>
      </c>
      <c r="N92" s="35" t="str">
        <f t="shared" si="2"/>
        <v/>
      </c>
      <c r="O92" s="36" t="str">
        <f t="shared" si="2"/>
        <v/>
      </c>
    </row>
    <row r="93" spans="1:15" s="24" customFormat="1" ht="23.25" customHeight="1" x14ac:dyDescent="0.45">
      <c r="A93" s="32">
        <v>81</v>
      </c>
      <c r="B93" s="53" t="s">
        <v>178</v>
      </c>
      <c r="C93" s="54"/>
      <c r="D93" s="54"/>
      <c r="E93" s="55"/>
      <c r="F93" s="56" t="s">
        <v>179</v>
      </c>
      <c r="G93" s="57"/>
      <c r="H93" s="58"/>
      <c r="I93" s="59"/>
      <c r="J93" s="58"/>
      <c r="K93" s="59"/>
      <c r="L93" s="33"/>
      <c r="M93" s="34" t="str">
        <f t="shared" si="3"/>
        <v/>
      </c>
      <c r="N93" s="35" t="str">
        <f t="shared" si="2"/>
        <v/>
      </c>
      <c r="O93" s="36" t="str">
        <f t="shared" si="2"/>
        <v/>
      </c>
    </row>
    <row r="94" spans="1:15" s="24" customFormat="1" ht="44.25" customHeight="1" x14ac:dyDescent="0.45">
      <c r="A94" s="32">
        <v>82</v>
      </c>
      <c r="B94" s="53" t="s">
        <v>180</v>
      </c>
      <c r="C94" s="54"/>
      <c r="D94" s="54"/>
      <c r="E94" s="55"/>
      <c r="F94" s="56" t="s">
        <v>181</v>
      </c>
      <c r="G94" s="57"/>
      <c r="H94" s="58"/>
      <c r="I94" s="59"/>
      <c r="J94" s="58"/>
      <c r="K94" s="59"/>
      <c r="L94" s="33"/>
      <c r="M94" s="34" t="str">
        <f t="shared" si="3"/>
        <v/>
      </c>
      <c r="N94" s="35" t="str">
        <f t="shared" si="2"/>
        <v/>
      </c>
      <c r="O94" s="36" t="str">
        <f t="shared" si="2"/>
        <v/>
      </c>
    </row>
    <row r="95" spans="1:15" s="24" customFormat="1" ht="23.25" customHeight="1" x14ac:dyDescent="0.45">
      <c r="A95" s="37">
        <v>83</v>
      </c>
      <c r="B95" s="45" t="s">
        <v>182</v>
      </c>
      <c r="C95" s="46"/>
      <c r="D95" s="46"/>
      <c r="E95" s="47"/>
      <c r="F95" s="48" t="s">
        <v>183</v>
      </c>
      <c r="G95" s="49"/>
      <c r="H95" s="50"/>
      <c r="I95" s="51"/>
      <c r="J95" s="50"/>
      <c r="K95" s="51"/>
      <c r="L95" s="37"/>
      <c r="M95" s="38" t="str">
        <f t="shared" si="3"/>
        <v/>
      </c>
      <c r="N95" s="39" t="str">
        <f t="shared" si="2"/>
        <v/>
      </c>
      <c r="O95" s="40" t="str">
        <f t="shared" si="2"/>
        <v/>
      </c>
    </row>
    <row r="96" spans="1:15" s="9" customFormat="1" ht="26.25" customHeight="1" x14ac:dyDescent="0.45">
      <c r="A96" s="52" t="s">
        <v>184</v>
      </c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</row>
    <row r="97" spans="6:13" s="9" customFormat="1" ht="14" x14ac:dyDescent="0.45">
      <c r="F97" s="41"/>
      <c r="G97" s="41"/>
      <c r="H97" s="42"/>
      <c r="I97" s="42"/>
      <c r="J97" s="42"/>
      <c r="K97" s="43" t="s">
        <v>185</v>
      </c>
    </row>
    <row r="98" spans="6:13" s="9" customFormat="1" ht="14" x14ac:dyDescent="0.45">
      <c r="F98" s="41"/>
      <c r="G98" s="41"/>
      <c r="H98" s="42"/>
      <c r="I98" s="42"/>
      <c r="J98" s="42"/>
      <c r="K98" s="42"/>
      <c r="L98" s="42"/>
      <c r="M98" s="44"/>
    </row>
    <row r="99" spans="6:13" s="9" customFormat="1" ht="14" x14ac:dyDescent="0.45">
      <c r="F99" s="41"/>
      <c r="G99" s="41"/>
      <c r="H99" s="42"/>
      <c r="I99" s="42"/>
      <c r="J99" s="42"/>
      <c r="K99" s="42"/>
      <c r="L99" s="42"/>
      <c r="M99" s="44"/>
    </row>
    <row r="100" spans="6:13" s="9" customFormat="1" ht="14" x14ac:dyDescent="0.45">
      <c r="F100" s="41"/>
      <c r="G100" s="41"/>
      <c r="H100" s="42"/>
      <c r="I100" s="42"/>
      <c r="J100" s="42"/>
      <c r="K100" s="42"/>
      <c r="L100" s="42"/>
      <c r="M100" s="44"/>
    </row>
    <row r="101" spans="6:13" s="9" customFormat="1" ht="14" x14ac:dyDescent="0.45">
      <c r="F101" s="41"/>
      <c r="G101" s="41"/>
      <c r="H101" s="42"/>
      <c r="I101" s="42"/>
      <c r="J101" s="42"/>
      <c r="K101" s="42"/>
      <c r="L101" s="42"/>
      <c r="M101" s="44"/>
    </row>
    <row r="102" spans="6:13" s="9" customFormat="1" ht="14" x14ac:dyDescent="0.45">
      <c r="F102" s="41"/>
      <c r="G102" s="41"/>
      <c r="H102" s="42"/>
      <c r="I102" s="42"/>
      <c r="J102" s="42"/>
      <c r="K102" s="42"/>
      <c r="L102" s="42"/>
      <c r="M102" s="44"/>
    </row>
    <row r="103" spans="6:13" s="9" customFormat="1" ht="14" x14ac:dyDescent="0.45">
      <c r="F103" s="41"/>
      <c r="G103" s="41"/>
      <c r="H103" s="42"/>
      <c r="I103" s="42"/>
      <c r="J103" s="42"/>
      <c r="K103" s="42"/>
      <c r="L103" s="42"/>
      <c r="M103" s="44"/>
    </row>
  </sheetData>
  <mergeCells count="349">
    <mergeCell ref="A11:A12"/>
    <mergeCell ref="B11:E12"/>
    <mergeCell ref="F11:G12"/>
    <mergeCell ref="H11:I12"/>
    <mergeCell ref="J11:K12"/>
    <mergeCell ref="L11:L12"/>
    <mergeCell ref="E2:F3"/>
    <mergeCell ref="I2:O2"/>
    <mergeCell ref="I3:O3"/>
    <mergeCell ref="A4:O4"/>
    <mergeCell ref="D7:O7"/>
    <mergeCell ref="A9:B9"/>
    <mergeCell ref="C9:I9"/>
    <mergeCell ref="K9:L9"/>
    <mergeCell ref="N9:O9"/>
    <mergeCell ref="B15:E15"/>
    <mergeCell ref="F15:G15"/>
    <mergeCell ref="H15:I15"/>
    <mergeCell ref="J15:K15"/>
    <mergeCell ref="B16:E16"/>
    <mergeCell ref="F16:G16"/>
    <mergeCell ref="H16:I16"/>
    <mergeCell ref="J16:K16"/>
    <mergeCell ref="M11:M12"/>
    <mergeCell ref="B13:E13"/>
    <mergeCell ref="F13:G13"/>
    <mergeCell ref="H13:I13"/>
    <mergeCell ref="J13:K13"/>
    <mergeCell ref="B14:E14"/>
    <mergeCell ref="F14:G14"/>
    <mergeCell ref="H14:I14"/>
    <mergeCell ref="J14:K14"/>
    <mergeCell ref="B19:E19"/>
    <mergeCell ref="F19:G19"/>
    <mergeCell ref="H19:I19"/>
    <mergeCell ref="J19:K19"/>
    <mergeCell ref="B20:E20"/>
    <mergeCell ref="F20:G20"/>
    <mergeCell ref="H20:I20"/>
    <mergeCell ref="J20:K20"/>
    <mergeCell ref="B17:E17"/>
    <mergeCell ref="F17:G17"/>
    <mergeCell ref="H17:I17"/>
    <mergeCell ref="J17:K17"/>
    <mergeCell ref="B18:E18"/>
    <mergeCell ref="F18:G18"/>
    <mergeCell ref="H18:I18"/>
    <mergeCell ref="J18:K18"/>
    <mergeCell ref="B23:E23"/>
    <mergeCell ref="F23:G23"/>
    <mergeCell ref="H23:I23"/>
    <mergeCell ref="J23:K23"/>
    <mergeCell ref="B24:E24"/>
    <mergeCell ref="F24:G24"/>
    <mergeCell ref="H24:I24"/>
    <mergeCell ref="J24:K24"/>
    <mergeCell ref="B21:E21"/>
    <mergeCell ref="F21:G21"/>
    <mergeCell ref="H21:I21"/>
    <mergeCell ref="J21:K21"/>
    <mergeCell ref="B22:E22"/>
    <mergeCell ref="F22:G22"/>
    <mergeCell ref="H22:I22"/>
    <mergeCell ref="J22:K22"/>
    <mergeCell ref="B27:E27"/>
    <mergeCell ref="F27:G27"/>
    <mergeCell ref="H27:I27"/>
    <mergeCell ref="J27:K27"/>
    <mergeCell ref="B28:E28"/>
    <mergeCell ref="F28:G28"/>
    <mergeCell ref="H28:I28"/>
    <mergeCell ref="J28:K28"/>
    <mergeCell ref="B25:E25"/>
    <mergeCell ref="F25:G25"/>
    <mergeCell ref="H25:I25"/>
    <mergeCell ref="J25:K25"/>
    <mergeCell ref="B26:E26"/>
    <mergeCell ref="F26:G26"/>
    <mergeCell ref="H26:I26"/>
    <mergeCell ref="J26:K26"/>
    <mergeCell ref="B31:E31"/>
    <mergeCell ref="F31:G31"/>
    <mergeCell ref="H31:I31"/>
    <mergeCell ref="J31:K31"/>
    <mergeCell ref="B32:E32"/>
    <mergeCell ref="F32:G32"/>
    <mergeCell ref="H32:I32"/>
    <mergeCell ref="J32:K32"/>
    <mergeCell ref="B29:E29"/>
    <mergeCell ref="F29:G29"/>
    <mergeCell ref="H29:I29"/>
    <mergeCell ref="J29:K29"/>
    <mergeCell ref="B30:E30"/>
    <mergeCell ref="F30:G30"/>
    <mergeCell ref="H30:I30"/>
    <mergeCell ref="J30:K30"/>
    <mergeCell ref="B35:E35"/>
    <mergeCell ref="F35:G35"/>
    <mergeCell ref="H35:I35"/>
    <mergeCell ref="J35:K35"/>
    <mergeCell ref="B36:E36"/>
    <mergeCell ref="F36:G36"/>
    <mergeCell ref="H36:I36"/>
    <mergeCell ref="J36:K36"/>
    <mergeCell ref="B33:E33"/>
    <mergeCell ref="F33:G33"/>
    <mergeCell ref="H33:I33"/>
    <mergeCell ref="J33:K33"/>
    <mergeCell ref="B34:E34"/>
    <mergeCell ref="F34:G34"/>
    <mergeCell ref="H34:I34"/>
    <mergeCell ref="J34:K34"/>
    <mergeCell ref="B39:E39"/>
    <mergeCell ref="F39:G39"/>
    <mergeCell ref="H39:I39"/>
    <mergeCell ref="J39:K39"/>
    <mergeCell ref="B40:E40"/>
    <mergeCell ref="F40:G40"/>
    <mergeCell ref="H40:I40"/>
    <mergeCell ref="J40:K40"/>
    <mergeCell ref="B37:E37"/>
    <mergeCell ref="F37:G37"/>
    <mergeCell ref="H37:I37"/>
    <mergeCell ref="J37:K37"/>
    <mergeCell ref="B38:E38"/>
    <mergeCell ref="F38:G38"/>
    <mergeCell ref="H38:I38"/>
    <mergeCell ref="J38:K38"/>
    <mergeCell ref="B43:E43"/>
    <mergeCell ref="F43:G43"/>
    <mergeCell ref="H43:I43"/>
    <mergeCell ref="J43:K43"/>
    <mergeCell ref="B44:E44"/>
    <mergeCell ref="F44:G44"/>
    <mergeCell ref="H44:I44"/>
    <mergeCell ref="J44:K44"/>
    <mergeCell ref="B41:E41"/>
    <mergeCell ref="F41:G41"/>
    <mergeCell ref="H41:I41"/>
    <mergeCell ref="J41:K41"/>
    <mergeCell ref="B42:E42"/>
    <mergeCell ref="F42:G42"/>
    <mergeCell ref="H42:I42"/>
    <mergeCell ref="J42:K42"/>
    <mergeCell ref="B47:E47"/>
    <mergeCell ref="F47:G47"/>
    <mergeCell ref="H47:I47"/>
    <mergeCell ref="J47:K47"/>
    <mergeCell ref="B48:E48"/>
    <mergeCell ref="F48:G48"/>
    <mergeCell ref="H48:I48"/>
    <mergeCell ref="J48:K48"/>
    <mergeCell ref="B45:E45"/>
    <mergeCell ref="F45:G45"/>
    <mergeCell ref="H45:I45"/>
    <mergeCell ref="J45:K45"/>
    <mergeCell ref="B46:E46"/>
    <mergeCell ref="F46:G46"/>
    <mergeCell ref="H46:I46"/>
    <mergeCell ref="J46:K46"/>
    <mergeCell ref="B51:E51"/>
    <mergeCell ref="F51:G51"/>
    <mergeCell ref="H51:I51"/>
    <mergeCell ref="J51:K51"/>
    <mergeCell ref="B52:E52"/>
    <mergeCell ref="F52:G52"/>
    <mergeCell ref="H52:I52"/>
    <mergeCell ref="J52:K52"/>
    <mergeCell ref="B49:E49"/>
    <mergeCell ref="F49:G49"/>
    <mergeCell ref="H49:I49"/>
    <mergeCell ref="J49:K49"/>
    <mergeCell ref="B50:E50"/>
    <mergeCell ref="F50:G50"/>
    <mergeCell ref="H50:I50"/>
    <mergeCell ref="J50:K50"/>
    <mergeCell ref="B55:E55"/>
    <mergeCell ref="F55:G55"/>
    <mergeCell ref="H55:I55"/>
    <mergeCell ref="J55:K55"/>
    <mergeCell ref="B56:E56"/>
    <mergeCell ref="F56:G56"/>
    <mergeCell ref="H56:I56"/>
    <mergeCell ref="J56:K56"/>
    <mergeCell ref="B53:E53"/>
    <mergeCell ref="F53:G53"/>
    <mergeCell ref="H53:I53"/>
    <mergeCell ref="J53:K53"/>
    <mergeCell ref="B54:E54"/>
    <mergeCell ref="F54:G54"/>
    <mergeCell ref="H54:I54"/>
    <mergeCell ref="J54:K54"/>
    <mergeCell ref="B59:E59"/>
    <mergeCell ref="F59:G59"/>
    <mergeCell ref="H59:I59"/>
    <mergeCell ref="J59:K59"/>
    <mergeCell ref="B60:E60"/>
    <mergeCell ref="F60:G60"/>
    <mergeCell ref="H60:I60"/>
    <mergeCell ref="J60:K60"/>
    <mergeCell ref="B57:E57"/>
    <mergeCell ref="F57:G57"/>
    <mergeCell ref="H57:I57"/>
    <mergeCell ref="J57:K57"/>
    <mergeCell ref="B58:E58"/>
    <mergeCell ref="F58:G58"/>
    <mergeCell ref="H58:I58"/>
    <mergeCell ref="J58:K58"/>
    <mergeCell ref="B63:E63"/>
    <mergeCell ref="F63:G63"/>
    <mergeCell ref="H63:I63"/>
    <mergeCell ref="J63:K63"/>
    <mergeCell ref="B64:E64"/>
    <mergeCell ref="F64:G64"/>
    <mergeCell ref="H64:I64"/>
    <mergeCell ref="J64:K64"/>
    <mergeCell ref="B61:E61"/>
    <mergeCell ref="F61:G61"/>
    <mergeCell ref="H61:I61"/>
    <mergeCell ref="J61:K61"/>
    <mergeCell ref="B62:E62"/>
    <mergeCell ref="F62:G62"/>
    <mergeCell ref="H62:I62"/>
    <mergeCell ref="J62:K62"/>
    <mergeCell ref="B67:E67"/>
    <mergeCell ref="F67:G67"/>
    <mergeCell ref="H67:I67"/>
    <mergeCell ref="J67:K67"/>
    <mergeCell ref="B68:E68"/>
    <mergeCell ref="F68:G68"/>
    <mergeCell ref="H68:I68"/>
    <mergeCell ref="J68:K68"/>
    <mergeCell ref="B65:E65"/>
    <mergeCell ref="F65:G65"/>
    <mergeCell ref="H65:I65"/>
    <mergeCell ref="J65:K65"/>
    <mergeCell ref="B66:E66"/>
    <mergeCell ref="F66:G66"/>
    <mergeCell ref="H66:I66"/>
    <mergeCell ref="J66:K66"/>
    <mergeCell ref="B71:E71"/>
    <mergeCell ref="F71:G71"/>
    <mergeCell ref="H71:I71"/>
    <mergeCell ref="J71:K71"/>
    <mergeCell ref="B72:E72"/>
    <mergeCell ref="F72:G72"/>
    <mergeCell ref="H72:I72"/>
    <mergeCell ref="J72:K72"/>
    <mergeCell ref="B69:E69"/>
    <mergeCell ref="F69:G69"/>
    <mergeCell ref="H69:I69"/>
    <mergeCell ref="J69:K69"/>
    <mergeCell ref="B70:E70"/>
    <mergeCell ref="F70:G70"/>
    <mergeCell ref="H70:I70"/>
    <mergeCell ref="J70:K70"/>
    <mergeCell ref="B75:E75"/>
    <mergeCell ref="F75:G75"/>
    <mergeCell ref="H75:I75"/>
    <mergeCell ref="J75:K75"/>
    <mergeCell ref="B76:E76"/>
    <mergeCell ref="F76:G76"/>
    <mergeCell ref="H76:I76"/>
    <mergeCell ref="J76:K76"/>
    <mergeCell ref="B73:E73"/>
    <mergeCell ref="F73:G73"/>
    <mergeCell ref="H73:I73"/>
    <mergeCell ref="J73:K73"/>
    <mergeCell ref="B74:E74"/>
    <mergeCell ref="F74:G74"/>
    <mergeCell ref="H74:I74"/>
    <mergeCell ref="J74:K74"/>
    <mergeCell ref="B79:E79"/>
    <mergeCell ref="F79:G79"/>
    <mergeCell ref="H79:I79"/>
    <mergeCell ref="J79:K79"/>
    <mergeCell ref="B80:E80"/>
    <mergeCell ref="F80:G80"/>
    <mergeCell ref="H80:I80"/>
    <mergeCell ref="J80:K80"/>
    <mergeCell ref="B77:E77"/>
    <mergeCell ref="F77:G77"/>
    <mergeCell ref="H77:I77"/>
    <mergeCell ref="J77:K77"/>
    <mergeCell ref="B78:E78"/>
    <mergeCell ref="F78:G78"/>
    <mergeCell ref="H78:I78"/>
    <mergeCell ref="J78:K78"/>
    <mergeCell ref="B83:E83"/>
    <mergeCell ref="F83:G83"/>
    <mergeCell ref="H83:I83"/>
    <mergeCell ref="J83:K83"/>
    <mergeCell ref="B84:E84"/>
    <mergeCell ref="F84:G84"/>
    <mergeCell ref="H84:I84"/>
    <mergeCell ref="J84:K84"/>
    <mergeCell ref="B81:E81"/>
    <mergeCell ref="F81:G81"/>
    <mergeCell ref="H81:I81"/>
    <mergeCell ref="J81:K81"/>
    <mergeCell ref="B82:E82"/>
    <mergeCell ref="F82:G82"/>
    <mergeCell ref="H82:I82"/>
    <mergeCell ref="J82:K82"/>
    <mergeCell ref="B87:E87"/>
    <mergeCell ref="F87:G87"/>
    <mergeCell ref="H87:I87"/>
    <mergeCell ref="J87:K87"/>
    <mergeCell ref="B88:E88"/>
    <mergeCell ref="F88:G88"/>
    <mergeCell ref="H88:I88"/>
    <mergeCell ref="J88:K88"/>
    <mergeCell ref="B85:E85"/>
    <mergeCell ref="F85:G85"/>
    <mergeCell ref="H85:I85"/>
    <mergeCell ref="J85:K85"/>
    <mergeCell ref="B86:E86"/>
    <mergeCell ref="F86:G86"/>
    <mergeCell ref="H86:I86"/>
    <mergeCell ref="J86:K86"/>
    <mergeCell ref="B91:E91"/>
    <mergeCell ref="F91:G91"/>
    <mergeCell ref="H91:I91"/>
    <mergeCell ref="J91:K91"/>
    <mergeCell ref="B92:E92"/>
    <mergeCell ref="F92:G92"/>
    <mergeCell ref="H92:I92"/>
    <mergeCell ref="J92:K92"/>
    <mergeCell ref="B89:E89"/>
    <mergeCell ref="F89:G89"/>
    <mergeCell ref="H89:I89"/>
    <mergeCell ref="J89:K89"/>
    <mergeCell ref="B90:E90"/>
    <mergeCell ref="F90:G90"/>
    <mergeCell ref="H90:I90"/>
    <mergeCell ref="J90:K90"/>
    <mergeCell ref="B95:E95"/>
    <mergeCell ref="F95:G95"/>
    <mergeCell ref="H95:I95"/>
    <mergeCell ref="J95:K95"/>
    <mergeCell ref="A96:O96"/>
    <mergeCell ref="B93:E93"/>
    <mergeCell ref="F93:G93"/>
    <mergeCell ref="H93:I93"/>
    <mergeCell ref="J93:K93"/>
    <mergeCell ref="B94:E94"/>
    <mergeCell ref="F94:G94"/>
    <mergeCell ref="H94:I94"/>
    <mergeCell ref="J94:K94"/>
  </mergeCells>
  <phoneticPr fontId="2" type="noConversion"/>
  <pageMargins left="0.39370078740157483" right="0.39370078740157483" top="0.74803149606299213" bottom="0.74803149606299213" header="0.31496062992125984" footer="0.31496062992125984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ALLERGY DATA_EU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rom</cp:lastModifiedBy>
  <cp:lastPrinted>2025-08-21T02:51:45Z</cp:lastPrinted>
  <dcterms:created xsi:type="dcterms:W3CDTF">2025-07-29T03:02:15Z</dcterms:created>
  <dcterms:modified xsi:type="dcterms:W3CDTF">2025-08-21T02:51:51Z</dcterms:modified>
</cp:coreProperties>
</file>